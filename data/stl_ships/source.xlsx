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\\scl-data.it.ntnu.no\Shape_model_dataset\FirstDelftshipTrials\metadata\"/>
    </mc:Choice>
  </mc:AlternateContent>
  <xr:revisionPtr revIDLastSave="0" documentId="13_ncr:1_{B649D6AC-7FA1-422D-9B71-CD0675D2BB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0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tc={B9506FFA-5E6F-4BA2-AD50-B6842C1AC260}</author>
    <author>tc={A73F5159-607C-40EC-84F7-4102CD2BC3FD}</author>
    <author>tc={84435883-096E-4E97-BF90-6C3851EEE006}</author>
  </authors>
  <commentList>
    <comment ref="G1" authorId="0" shapeId="0" xr:uid="{B9506FFA-5E6F-4BA2-AD50-B6842C1AC26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Is just a hull of a ship?
Svar:
    Yes</t>
      </text>
    </comment>
    <comment ref="H1" authorId="1" shapeId="0" xr:uid="{A73F5159-607C-40EC-84F7-4102CD2BC3F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Is a closed surfaced model?
Svar:
    Yes. Basically that the 3D model is a Manifold. Not easy to see perhaps</t>
      </text>
    </comment>
    <comment ref="I1" authorId="2" shapeId="0" xr:uid="{84435883-096E-4E97-BF90-6C3851EEE00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Is the model a part of a boat or ship?
Svar:
    We could potentially made categories here instead. Sailboat, Kajak, Oil Rigg, speedboat, etc. Just wanted to separate the non boat stuff such as airplanes from the dataset</t>
      </text>
    </comment>
  </commentList>
</comments>
</file>

<file path=xl/sharedStrings.xml><?xml version="1.0" encoding="utf-8"?>
<sst xmlns="http://schemas.openxmlformats.org/spreadsheetml/2006/main" count="1110" uniqueCount="637">
  <si>
    <t>BoatID</t>
  </si>
  <si>
    <t>ProjectName</t>
  </si>
  <si>
    <t>Designer</t>
  </si>
  <si>
    <t>CreatedBy</t>
  </si>
  <si>
    <t>FileVersion</t>
  </si>
  <si>
    <t>DesignerComment</t>
  </si>
  <si>
    <t>Sport Fisherman</t>
  </si>
  <si>
    <t>Pier C</t>
  </si>
  <si>
    <t>14.30</t>
  </si>
  <si>
    <t>56 inches model sport fisherman with twin engines</t>
  </si>
  <si>
    <t>Pegasus</t>
  </si>
  <si>
    <t>Pier C.</t>
  </si>
  <si>
    <t>Plan drawn from the yacht kit's name</t>
  </si>
  <si>
    <t>Cat 7,80m demontierbar</t>
  </si>
  <si>
    <t>Hendrik Möller</t>
  </si>
  <si>
    <t>14.20</t>
  </si>
  <si>
    <t>Destroyer Class Tribal</t>
  </si>
  <si>
    <t>Marcelo Ariel Santillán</t>
  </si>
  <si>
    <t>13.50</t>
  </si>
  <si>
    <t>Gig-10ft-6-final-final</t>
  </si>
  <si>
    <t>13.40</t>
  </si>
  <si>
    <t>MDR-6</t>
  </si>
  <si>
    <t>11.30</t>
  </si>
  <si>
    <t>Pinque_13</t>
  </si>
  <si>
    <t>13.10</t>
  </si>
  <si>
    <t>Kosta snipa</t>
  </si>
  <si>
    <t>Bateau Aroues Aaubes</t>
  </si>
  <si>
    <t>Segelyacht 15 m2 SNS Neubau optimal ausgelegt unsinkbar</t>
  </si>
  <si>
    <t>Rolf Philipp Hagen</t>
  </si>
  <si>
    <t>Rolf Philipp Hagen mit Excel und Delft Ship</t>
  </si>
  <si>
    <t>Segelyacht 15 m2 SNS, R = 4,02, WL = 4,558 m, VL = 5,060 m, V = 0,680 m3, S = 15,000 m2</t>
  </si>
  <si>
    <t>Hydrlift-p42</t>
  </si>
  <si>
    <t>12.30</t>
  </si>
  <si>
    <t>Brigg Joachim Allwardt</t>
  </si>
  <si>
    <t>J. Möller</t>
  </si>
  <si>
    <t>AxelF</t>
  </si>
  <si>
    <t>www.classic-modellyacht-design.de</t>
  </si>
  <si>
    <t>LA-28</t>
  </si>
  <si>
    <t>Axel Franzen</t>
  </si>
  <si>
    <t>Nagato</t>
  </si>
  <si>
    <t>12.20</t>
  </si>
  <si>
    <t>Japanese battle ship Nagato</t>
  </si>
  <si>
    <t>Segelyacht 15 m2 SNS Neubau, unsinkbar, optimal ausgelegt.</t>
  </si>
  <si>
    <t>Excel und Delft Ship</t>
  </si>
  <si>
    <t>11.10</t>
  </si>
  <si>
    <t>Segelyach 15 m2 SNS, Lf=5,065m, Lw=4,564m, V=0,681m3, S=15,00 m2</t>
  </si>
  <si>
    <t>LE CARTAHU</t>
  </si>
  <si>
    <t>DIDIER CHAVANE</t>
  </si>
  <si>
    <t xml:space="preserve">Cotre Breton conçu et construit par mon pére, dans les années 50 </t>
  </si>
  <si>
    <t>BAWLEY de LEIGH</t>
  </si>
  <si>
    <t>Didier CHAVANE</t>
  </si>
  <si>
    <t>7.23</t>
  </si>
  <si>
    <t>Bateau de péche du sud de lAngleterre - 19é et début 20éme siècle</t>
  </si>
  <si>
    <t>BARROTIN</t>
  </si>
  <si>
    <t>9.30</t>
  </si>
  <si>
    <t>Resolution 1669</t>
  </si>
  <si>
    <t>Sir Anthony Deane</t>
  </si>
  <si>
    <t>Th.Kowalle</t>
  </si>
  <si>
    <t>El Cazador</t>
  </si>
  <si>
    <t>unknown</t>
  </si>
  <si>
    <t>Wappen von Hamburg</t>
  </si>
  <si>
    <t>SLOOP-55-M</t>
  </si>
  <si>
    <t>POLYESTER-CABIN</t>
  </si>
  <si>
    <t>Revelry Alden Malabar Junior 599a</t>
  </si>
  <si>
    <t>John Alden</t>
  </si>
  <si>
    <t>andrew trivett</t>
  </si>
  <si>
    <t>Bente 39</t>
  </si>
  <si>
    <t>Judel Volijk</t>
  </si>
  <si>
    <t>11.40</t>
  </si>
  <si>
    <t>Rumpf-03</t>
  </si>
  <si>
    <t>LCT</t>
  </si>
  <si>
    <t>Rafidiala</t>
  </si>
  <si>
    <t>Erwine Ratsima</t>
  </si>
  <si>
    <t>10.30</t>
  </si>
  <si>
    <t>NUCLEAR POWERED AGEIS CRUISER</t>
  </si>
  <si>
    <t>C. E. WILKINS</t>
  </si>
  <si>
    <t>C.E. Wilkins</t>
  </si>
  <si>
    <t>11.20</t>
  </si>
  <si>
    <t>2 X 8"/60 MK 71 MOD 2, 192 cell MK 41 VLS, 2 X MK 31 RAM</t>
  </si>
  <si>
    <t>Laurin 28</t>
  </si>
  <si>
    <t>Arvid Laurin 1966</t>
  </si>
  <si>
    <t>Invader II</t>
  </si>
  <si>
    <t>William Fife III</t>
  </si>
  <si>
    <t>R/v Aranda</t>
  </si>
  <si>
    <t>Unknown</t>
  </si>
  <si>
    <t>Pilot Schooner "GRODEN"</t>
  </si>
  <si>
    <t>Jurgen 54</t>
  </si>
  <si>
    <t>8.13</t>
  </si>
  <si>
    <t>An ancient and pretty workhorse</t>
  </si>
  <si>
    <t>NCC-1701-D</t>
  </si>
  <si>
    <t>Matt Jefferies</t>
  </si>
  <si>
    <t>Maarten</t>
  </si>
  <si>
    <t>13.00</t>
  </si>
  <si>
    <t>A.K.A. 'Enterprise D'</t>
  </si>
  <si>
    <t>Scuna - Brigantino Goletta</t>
  </si>
  <si>
    <t>Ambrogio Terrizzano</t>
  </si>
  <si>
    <t>Firpo Giorgio + Jurgen 54</t>
  </si>
  <si>
    <t>8.08</t>
  </si>
  <si>
    <t>Dinghy 250</t>
  </si>
  <si>
    <t>tgk-design</t>
  </si>
  <si>
    <t>7.22</t>
  </si>
  <si>
    <t>Planing 01</t>
  </si>
  <si>
    <t>pstylianopoulos</t>
  </si>
  <si>
    <t>Pantelis Stylianopoulos</t>
  </si>
  <si>
    <t>8.06</t>
  </si>
  <si>
    <t>Xpedite 50</t>
  </si>
  <si>
    <t>Cam Clarkson</t>
  </si>
  <si>
    <t>Whitehall</t>
  </si>
  <si>
    <t>David Telles</t>
  </si>
  <si>
    <t>Hard chined sailing dinghy</t>
  </si>
  <si>
    <t>Jo Dierickx</t>
  </si>
  <si>
    <t>HD-sportfisher</t>
  </si>
  <si>
    <t>Glenn Kivinen</t>
  </si>
  <si>
    <t>Glenn kivinen</t>
  </si>
  <si>
    <t>min båd</t>
  </si>
  <si>
    <t>søren udengaard</t>
  </si>
  <si>
    <t>33 ft sailing boat</t>
  </si>
  <si>
    <t>Caledonian yawl</t>
  </si>
  <si>
    <t>Jet services</t>
  </si>
  <si>
    <t>Dolphin</t>
  </si>
  <si>
    <t>Ken Swan</t>
  </si>
  <si>
    <t>Chris Harris</t>
  </si>
  <si>
    <t>CGN 25 (1977)</t>
  </si>
  <si>
    <t>6.27</t>
  </si>
  <si>
    <t>WALRUS, class WALRUS (parent class HALNY-1)</t>
  </si>
  <si>
    <t>Waldemar Snopko, Wroclaw, 1.7.1988</t>
  </si>
  <si>
    <t>L. Hubka, 4.1.2014</t>
  </si>
  <si>
    <t>USS Long Beach CGN-9</t>
  </si>
  <si>
    <t>C. E. Wilkins</t>
  </si>
  <si>
    <t>6.23</t>
  </si>
  <si>
    <t>6.11</t>
  </si>
  <si>
    <t>VLCS  COLOMBO EXPRESS Class</t>
  </si>
  <si>
    <t>Hyundai Heavy Industries Co. Ltd. Ulsan, 2006</t>
  </si>
  <si>
    <t>(c) Ralph Grothe, August 2012</t>
  </si>
  <si>
    <t>MS Bremen</t>
  </si>
  <si>
    <t>Anton Rudolph</t>
  </si>
  <si>
    <t>Dunkerque</t>
  </si>
  <si>
    <t>Sam</t>
  </si>
  <si>
    <t>Bâtiment de ligne de 26.500 Tonnes Washington</t>
  </si>
  <si>
    <t>Plataforma de Perforacion JCM-001</t>
  </si>
  <si>
    <t>Jesus Cruz Mayora</t>
  </si>
  <si>
    <t>fishing-walk boat</t>
  </si>
  <si>
    <t>HOF philippe</t>
  </si>
  <si>
    <t>Stortebeker III</t>
  </si>
  <si>
    <t>Abeking &amp; Rasmussen</t>
  </si>
  <si>
    <t>Martijn van Engeland</t>
  </si>
  <si>
    <t>Submarino de 50 mts.</t>
  </si>
  <si>
    <t>snipa as workboat from figeholm sweden</t>
  </si>
  <si>
    <t>Henk Schoneveld</t>
  </si>
  <si>
    <t>Snipa from Figeholm</t>
  </si>
  <si>
    <t>s spant 1600</t>
  </si>
  <si>
    <t>Michiel Bonke</t>
  </si>
  <si>
    <t>4m waterline ballast-keel skiff</t>
  </si>
  <si>
    <t>Nick Cook</t>
  </si>
  <si>
    <t>njcook@ntlworld.com</t>
  </si>
  <si>
    <t>For use with 2.4mR sails and rigging</t>
  </si>
  <si>
    <t>Lion1804</t>
  </si>
  <si>
    <t>Helsa 1882</t>
  </si>
  <si>
    <t xml:space="preserve">Carl-Edvard Smith </t>
  </si>
  <si>
    <t>Jürgen Sass. sass@sassdesign.net</t>
  </si>
  <si>
    <t>Oldest sailing canoe in Sweden</t>
  </si>
  <si>
    <t>Jean Bart</t>
  </si>
  <si>
    <t>Conception dun batiment de ligne</t>
  </si>
  <si>
    <t>Sparkman &amp; Stephens 6 M</t>
  </si>
  <si>
    <t>Olin Stephens</t>
  </si>
  <si>
    <t>klzsailing</t>
  </si>
  <si>
    <t>1928 design</t>
  </si>
  <si>
    <t>River Push boat 18,5m,1300hp</t>
  </si>
  <si>
    <t>Razmik Baharyan</t>
  </si>
  <si>
    <t>Task for a degree design: Push boat for Brazilian rivers Tiete - Parana</t>
  </si>
  <si>
    <t>Wave Piercing Catamaran JCM-001</t>
  </si>
  <si>
    <t>26er Knickspant</t>
  </si>
  <si>
    <t>Hartmut Loss</t>
  </si>
  <si>
    <t>originally imported from Carlsons hull program, elaborated in freeship and delftship</t>
  </si>
  <si>
    <t>Multihull Houseboat</t>
  </si>
  <si>
    <t>Marius Liebenberg</t>
  </si>
  <si>
    <t xml:space="preserve"> Marius Liebenberg</t>
  </si>
  <si>
    <t>16.2m Multihull Houseboat</t>
  </si>
  <si>
    <t>Lagoon 440</t>
  </si>
  <si>
    <t>Celso Ioneda</t>
  </si>
  <si>
    <t>for job purpose, 3D design, e-mail to   celsoioneda@yahoo.com.br</t>
  </si>
  <si>
    <t>Push boat 3150 hp - Project 592A</t>
  </si>
  <si>
    <t>Shipbuilding Institute in Rousse sity - Bulgaria</t>
  </si>
  <si>
    <t>Three propellers river push boat for push-train 12000 t</t>
  </si>
  <si>
    <t>Sheperd</t>
  </si>
  <si>
    <t>KLZ Intelligent Sailing</t>
  </si>
  <si>
    <t>TRL_4_3m_50hp</t>
  </si>
  <si>
    <t>D.A.Kurbatov</t>
  </si>
  <si>
    <t>Motor boat for cruise and fishing</t>
  </si>
  <si>
    <t>SWATH 30 mts. de Eslora</t>
  </si>
  <si>
    <t>123.0ft (37.5m) Planing Hull Project</t>
  </si>
  <si>
    <t>Jeffry Fontaine</t>
  </si>
  <si>
    <t>Based on an enlarged Tjeld or Nasty Class hull design</t>
  </si>
  <si>
    <t>HMS Tiger battlecruiser</t>
  </si>
  <si>
    <t>Papp Miklos</t>
  </si>
  <si>
    <t xml:space="preserve">Pemaquid </t>
  </si>
  <si>
    <t xml:space="preserve">Howard L. Chapelle, using lines taken from a Friendship Sloop built at Bremen, Maine, by A.K. Carter, in 1914.  The cabin and cockpit design in this DELFTship model is taken from the Pemaquid-type boat included in WoodenBoats design catalog "Fifty Wooden </t>
  </si>
  <si>
    <t>Bruce Taylor</t>
  </si>
  <si>
    <t>The DELFTship model was made to demonstrate the practicality of reproducing a historic boat, using background images of the lines plan.  In this case, the lines were scanned from an old copy of Howard L. Chapelles "American Small Sailing Craft."   When th</t>
  </si>
  <si>
    <t>Smit Rotterdam</t>
  </si>
  <si>
    <t>IHC Merwede BV</t>
  </si>
  <si>
    <t>P. Meuzelaar</t>
  </si>
  <si>
    <t>Loyalist 60</t>
  </si>
  <si>
    <t>Richard J. Saunders</t>
  </si>
  <si>
    <t>60 ft sailingyacht displacement=20.8 t.</t>
  </si>
  <si>
    <t>Longboat fr Vaxholm 1900</t>
  </si>
  <si>
    <t>Jurgen Sass</t>
  </si>
  <si>
    <t xml:space="preserve">J. Sass, Vaxholm, Sweden </t>
  </si>
  <si>
    <t xml:space="preserve">www.sassdesign.net </t>
  </si>
  <si>
    <t>32Hard</t>
  </si>
  <si>
    <t>Paul Badcock</t>
  </si>
  <si>
    <t>El Cheapo yacht</t>
  </si>
  <si>
    <t>SAIL-1</t>
  </si>
  <si>
    <t>GV</t>
  </si>
  <si>
    <t>LE 17</t>
  </si>
  <si>
    <t>HEAVY-DUTY 45</t>
  </si>
  <si>
    <t>steel construktion full displacement hull developable</t>
  </si>
  <si>
    <t>Emerald 70</t>
  </si>
  <si>
    <t>K,Yano  e-mail : info@gibraltar-yacht.com</t>
  </si>
  <si>
    <t>K,Yano</t>
  </si>
  <si>
    <t>Traditional  Racrer / Cruser</t>
  </si>
  <si>
    <t>Zeeschouw 1200</t>
  </si>
  <si>
    <t>Garde cote</t>
  </si>
  <si>
    <t>Blackwater 15</t>
  </si>
  <si>
    <t>An easy to build plywood skiff. A 15hp motor would be perfect for this one.</t>
  </si>
  <si>
    <t>3.5m Grand Banks Dory</t>
  </si>
  <si>
    <t>Phil Nelson</t>
  </si>
  <si>
    <t>"Caballero" type cruiser boat (Old fashion )</t>
  </si>
  <si>
    <t>Sergio Diaz (sd_naval)</t>
  </si>
  <si>
    <t>Lines plan from Svensons free boat plans (not exactly the same).</t>
  </si>
  <si>
    <t>min b</t>
  </si>
  <si>
    <t>soren udengaard</t>
  </si>
  <si>
    <t>home building projekt (hull finished 2007)</t>
  </si>
  <si>
    <t>Blue moon</t>
  </si>
  <si>
    <t>Yuri Kuznetsov</t>
  </si>
  <si>
    <t>WT35</t>
  </si>
  <si>
    <t>M/Y INDEPENDANCE</t>
  </si>
  <si>
    <t>CG Pettersson 1911, rudder &amp;  prop  J. Sass 2007</t>
  </si>
  <si>
    <t>J. Sass  Vaxholm  Sweden</t>
  </si>
  <si>
    <t>www.independance.se</t>
  </si>
  <si>
    <t>Trinardo 6.4</t>
  </si>
  <si>
    <t>Kjell Nilsson</t>
  </si>
  <si>
    <t>www.trinardo.com</t>
  </si>
  <si>
    <t>Casiopea- new one design class</t>
  </si>
  <si>
    <t>"Batog design"- Jakub Batog</t>
  </si>
  <si>
    <t>Any questions, coments and thoughts on my project please send on kuba_sail@op.pl</t>
  </si>
  <si>
    <t>Storbat fr Roslagen for  Annelie Lundstedt</t>
  </si>
  <si>
    <t>Jurgen Sass after J. Sioblom / F.H. Chapman  Stockholm 1797</t>
  </si>
  <si>
    <t xml:space="preserve"> Jurgen Sass, Vaxholm, Sweden    2007</t>
  </si>
  <si>
    <t>Traditional lapstrake design. Under construction on Skeppsholmen in Stockholm.</t>
  </si>
  <si>
    <t>Hard chined outboard powered dayboat</t>
  </si>
  <si>
    <t>Ply construction</t>
  </si>
  <si>
    <t>economy cruiser 47 ft</t>
  </si>
  <si>
    <t>Ply construction motorsailer</t>
  </si>
  <si>
    <t>Schooner</t>
  </si>
  <si>
    <t>Plate developable schooner model</t>
  </si>
  <si>
    <t>Azmyth 01</t>
  </si>
  <si>
    <t>Rick Peters</t>
  </si>
  <si>
    <t>Windstorm 45</t>
  </si>
  <si>
    <t>Philippe Hof</t>
  </si>
  <si>
    <t>45 ft. motoryacht</t>
  </si>
  <si>
    <t>Cruiser Hull</t>
  </si>
  <si>
    <t>cjwilks</t>
  </si>
  <si>
    <t>VOR 70</t>
  </si>
  <si>
    <t>Jean-Marc NOURRY</t>
  </si>
  <si>
    <t>jean-marc.nourry@cegetel.net</t>
  </si>
  <si>
    <t>CRANA Organisation Modeler</t>
  </si>
  <si>
    <t>ACC 2007 (America Cup)</t>
  </si>
  <si>
    <t>Junior challenge  8m</t>
  </si>
  <si>
    <t>Kiyoshi Yano  Engineer</t>
  </si>
  <si>
    <t>Kiyoshi Yano</t>
  </si>
  <si>
    <t>Contact :  gitana@circus.ocn.ne.jp</t>
  </si>
  <si>
    <t>Bisquine de Cancale " La Perle "</t>
  </si>
  <si>
    <t>Gwenael Cheron</t>
  </si>
  <si>
    <t>Ixous</t>
  </si>
  <si>
    <t>Luc</t>
  </si>
  <si>
    <t>Luc Bodet</t>
  </si>
  <si>
    <t>Traditional Belgian fishing cutter "Ixous" 1936</t>
  </si>
  <si>
    <t>Classic 51</t>
  </si>
  <si>
    <t>40s era styling for carvel construction.</t>
  </si>
  <si>
    <t>50 feet Racer</t>
  </si>
  <si>
    <t>Kiyoshi Yano          mail :  gitana@circus.ocn.ne.jp</t>
  </si>
  <si>
    <t>For the production boat builder</t>
  </si>
  <si>
    <t>33 x 12  Aluminum Pontoon Boat</t>
  </si>
  <si>
    <t>Bill Hunt, NA</t>
  </si>
  <si>
    <t>G Thibodeaux</t>
  </si>
  <si>
    <t>Proposal for US Army Corps of Engineers, New Orleans District</t>
  </si>
  <si>
    <t>Surf Dinghy 9</t>
  </si>
  <si>
    <t>Recreational Dinghy for use with Windsurfer Rig</t>
  </si>
  <si>
    <t>Multihull</t>
  </si>
  <si>
    <t>John Wilkins</t>
  </si>
  <si>
    <t>50ft Cruising Cat</t>
  </si>
  <si>
    <t>British Moth</t>
  </si>
  <si>
    <t>David Peer</t>
  </si>
  <si>
    <t>Albacore</t>
  </si>
  <si>
    <t>Uffa Fox</t>
  </si>
  <si>
    <t>An Experiment</t>
  </si>
  <si>
    <t>26' Whale Boat</t>
  </si>
  <si>
    <t>Ronaldo Fazanelli Migueis</t>
  </si>
  <si>
    <t>Pringle 18</t>
  </si>
  <si>
    <t>William D. Anderson</t>
  </si>
  <si>
    <t>Gilermo Jacuzzi</t>
  </si>
  <si>
    <t>Modified Prindle 19, Preliminary offsets</t>
  </si>
  <si>
    <t>20 catamaran</t>
  </si>
  <si>
    <t>Pietro Jaccuzi,</t>
  </si>
  <si>
    <t>Pietro Jaccuzi</t>
  </si>
  <si>
    <t>Preliminary lines, Carbon fiber rig,</t>
  </si>
  <si>
    <t>Texas style flats skeeter with tunnel</t>
  </si>
  <si>
    <t>Sean Herron, San Antonio Lake Skeeter</t>
  </si>
  <si>
    <t>Alberto Bertucci</t>
  </si>
  <si>
    <t>Remove flap at end of tunnel.</t>
  </si>
  <si>
    <t>Research vessel</t>
  </si>
  <si>
    <t>Goodnow Kayak</t>
  </si>
  <si>
    <t>Ludwig Sigurdson.</t>
  </si>
  <si>
    <t>Bryan Hansel, www.nessmuking.com</t>
  </si>
  <si>
    <t>Kayak At Goodnow Library in Sudbury, MA. Collected in 1896. Survey and drawn by Mark Starr in 2001</t>
  </si>
  <si>
    <t>27 Plywood Express</t>
  </si>
  <si>
    <t>K,Yano    contact to:   gitana@sircus.ocn.ne.jp</t>
  </si>
  <si>
    <t>Plywood panel  easy construction system</t>
  </si>
  <si>
    <t>Smal power catamaran     sketch</t>
  </si>
  <si>
    <t>J. Sass      Vaxholm   Sweden</t>
  </si>
  <si>
    <t>J. Sass   Dec 20006</t>
  </si>
  <si>
    <t>Catamaran for 10 - 15 hp engine</t>
  </si>
  <si>
    <t>Trace Demo</t>
  </si>
  <si>
    <t>N. Schipper</t>
  </si>
  <si>
    <t>M. van Engeland</t>
  </si>
  <si>
    <t>Used for tutorial to demonstrate the use of background images in order to trace an existing design</t>
  </si>
  <si>
    <t>Pickup Squared</t>
  </si>
  <si>
    <t>Jim Michalak</t>
  </si>
  <si>
    <t>Stefan A.Probst</t>
  </si>
  <si>
    <t>roughly drawn according to unprecise line plans</t>
  </si>
  <si>
    <t>60 knots boat</t>
  </si>
  <si>
    <t>J. Sass    Vaxholm   Sweden    1969</t>
  </si>
  <si>
    <t>J. Sass</t>
  </si>
  <si>
    <t>Aerodynamic balansed "boat", sails with just the daggerboard in the water</t>
  </si>
  <si>
    <t>Tancook Whaler 2 no masts</t>
  </si>
  <si>
    <t>Hard chine cruiser 3 38 feet-1</t>
  </si>
  <si>
    <t>Inland barge</t>
  </si>
  <si>
    <t>Philip Devon</t>
  </si>
  <si>
    <t>Barge intended for use on inland waterways</t>
  </si>
  <si>
    <t>Yellow Leaf</t>
  </si>
  <si>
    <t>Phil Bolger</t>
  </si>
  <si>
    <t>Stefan A. Probst</t>
  </si>
  <si>
    <t>max. 2 sheet canoe, widened by 7.5" (20cm), but needs one more joint</t>
  </si>
  <si>
    <t>YD-40</t>
  </si>
  <si>
    <t>Lars Larsson &amp; Rolf E. Eliasson</t>
  </si>
  <si>
    <t>From the book "Principles of yacht design" by Lars Larsson &amp; Rolf E. Eliasson</t>
  </si>
  <si>
    <t>Hard chined sailing yacht</t>
  </si>
  <si>
    <t>M. van engeland</t>
  </si>
  <si>
    <t>4-whitey</t>
  </si>
  <si>
    <t>Caldera BoatworX</t>
  </si>
  <si>
    <t>RMDomico</t>
  </si>
  <si>
    <t>Adaptation of Sailing Canoe Vesper</t>
  </si>
  <si>
    <t>R. W. Gibson (adapted by Bruce Taylor)</t>
  </si>
  <si>
    <t>Lines from Gibsons Vesper, as recorded in W.P. Stephenss _ Canoe and Boatbuilding for Amateurs_.  Balanced lug racing rig has been replaced by batwing gunter rig.</t>
  </si>
  <si>
    <t>TAIKI V1-PICO</t>
  </si>
  <si>
    <t>TAIKI FUKUNAGA, OHANA HOE OUTRIGGER CANOE CLUB, JAPAN</t>
  </si>
  <si>
    <t>TAIKI FUKUNAGA</t>
  </si>
  <si>
    <t>Recreational One Man Outrigger Canoe(V1/OC1)</t>
  </si>
  <si>
    <t>Twee Gebroeders</t>
  </si>
  <si>
    <t>Traditional Dutch fishing cutter "Twee Gebroeders" ca. 1867</t>
  </si>
  <si>
    <t>Sztrandek 4.95 (chine import from original data)</t>
  </si>
  <si>
    <t>Zeljko Horvatovic (original by Wojciech Kasprzak)</t>
  </si>
  <si>
    <t>Zeljko Horvatovic</t>
  </si>
  <si>
    <t>Supplier</t>
  </si>
  <si>
    <t>Suberbella</t>
  </si>
  <si>
    <t>Anders Martinsson</t>
  </si>
  <si>
    <t>Anders Martinsson (anders.martinsson&lt;at&gt;bildning.habo.se)</t>
  </si>
  <si>
    <t>Low drag ice yatch based on the Isabella design.</t>
  </si>
  <si>
    <t>Supertanker</t>
  </si>
  <si>
    <t>Tanker with elliptical bow</t>
  </si>
  <si>
    <t>Fishing trawler</t>
  </si>
  <si>
    <t>Sliver</t>
  </si>
  <si>
    <t>Steven Lewis</t>
  </si>
  <si>
    <t>Steve Lewis</t>
  </si>
  <si>
    <t>Slim Multi-chine Sail/Row hull</t>
  </si>
  <si>
    <t>Shivaree</t>
  </si>
  <si>
    <t>Phillip Bolger</t>
  </si>
  <si>
    <t>Bruce Hallman</t>
  </si>
  <si>
    <t>Bolger design #648, outboard power runabout. 18 x 7</t>
  </si>
  <si>
    <t>One Meter Circular Hull</t>
  </si>
  <si>
    <t>Jean-marc NOURRY</t>
  </si>
  <si>
    <t>micronesian proa (test, do not build this one!)</t>
  </si>
  <si>
    <t>luna</t>
  </si>
  <si>
    <t>hulls sizes and main hull profile are asymmetric</t>
  </si>
  <si>
    <t>Moosabec Reach Boat</t>
  </si>
  <si>
    <t>Geoff McKonly</t>
  </si>
  <si>
    <t>Offsets from John Gardner</t>
  </si>
  <si>
    <t>MY VIHLEN APRIL FOOL WITH STANDING HEADROM</t>
  </si>
  <si>
    <t>Sean Herron</t>
  </si>
  <si>
    <t>F100 - RC Yacht</t>
  </si>
  <si>
    <t>J.Colliot/Nef</t>
  </si>
  <si>
    <t>JCDesign</t>
  </si>
  <si>
    <t>1er dessin sous freeship</t>
  </si>
  <si>
    <t>Outboard-Powered Canal Cruiser, SBJ Cartoon #5</t>
  </si>
  <si>
    <t>According to line plans from SBJ</t>
  </si>
  <si>
    <t>BBM 2.30</t>
  </si>
  <si>
    <t>Small dinghy design and built for my daughter (6 years old)</t>
  </si>
  <si>
    <t>Big Hunk by Glen-L.com</t>
  </si>
  <si>
    <t>Glen-L.com, cabin by Stefan Probst</t>
  </si>
  <si>
    <t>original size: 267" x 98", short version: 258", can be stretched by 3</t>
  </si>
  <si>
    <t>10m deep</t>
  </si>
  <si>
    <t>12.650</t>
  </si>
  <si>
    <t>high performance motor canoe</t>
  </si>
  <si>
    <t>Leonel Murguia</t>
  </si>
  <si>
    <t>semi displacement hull</t>
  </si>
  <si>
    <t>Sport_Fisher</t>
  </si>
  <si>
    <t>Felipe Garcia</t>
  </si>
  <si>
    <t>Felipe</t>
  </si>
  <si>
    <t>A light sculling training boat.</t>
  </si>
  <si>
    <t>Modified by HECS</t>
  </si>
  <si>
    <t>Scrappy</t>
  </si>
  <si>
    <t>Carene 2003 and imported</t>
  </si>
  <si>
    <t>99% double ender but with sufficient transom to hand rudder and/or small motor</t>
  </si>
  <si>
    <t>Rozinante</t>
  </si>
  <si>
    <t>L. Francis Herreshoff</t>
  </si>
  <si>
    <t>Design #98, October 1956</t>
  </si>
  <si>
    <t>RiverRunner25</t>
  </si>
  <si>
    <t>Tunnel hull Jonboat with raised center console for super shallow river running and sand bar dodging</t>
  </si>
  <si>
    <t>Riva Aquarama Spécial</t>
  </si>
  <si>
    <t>Carlo RIVA Spa - Carlo Riva &amp; Giorgio Barilani</t>
  </si>
  <si>
    <t>Thierry FABRE</t>
  </si>
  <si>
    <t>redesigned from an original structure plan</t>
  </si>
  <si>
    <t>Rapid_Craft</t>
  </si>
  <si>
    <t>Pretty Runabout 18"</t>
  </si>
  <si>
    <t>Giuseppe Balsamo</t>
  </si>
  <si>
    <t>Cagliostro</t>
  </si>
  <si>
    <t>Easy to build, stich &amp; glue, outboard power with bracket.</t>
  </si>
  <si>
    <t>PoorBoySkiff</t>
  </si>
  <si>
    <t>Carene 2003 and imported.</t>
  </si>
  <si>
    <t>Easy to build traditional flat Iron skiff for two fishin buddies</t>
  </si>
  <si>
    <t>PocketCruiser3</t>
  </si>
  <si>
    <t>Marven 102 Pluut</t>
  </si>
  <si>
    <t>Offsets from an original pluut, the converted to a developable hull</t>
  </si>
  <si>
    <t>Patrol craft</t>
  </si>
  <si>
    <t>Steve O.</t>
  </si>
  <si>
    <t>High-speed patrol craft</t>
  </si>
  <si>
    <t>PEEP14</t>
  </si>
  <si>
    <t>G. Carlson</t>
  </si>
  <si>
    <t>Imported from hulls programPeep 14</t>
  </si>
  <si>
    <t>Parent 61 - Ro-Ro vessel</t>
  </si>
  <si>
    <t>Parent 62 - ZUIGER</t>
  </si>
  <si>
    <t>Parent 60 - Container feeder</t>
  </si>
  <si>
    <t>Parent 51 - Containership</t>
  </si>
  <si>
    <t>Parent 58 - RO-RO ship</t>
  </si>
  <si>
    <t>Parent 50 - Motoryacht</t>
  </si>
  <si>
    <t>Parent 49 - Tanker</t>
  </si>
  <si>
    <t>parent 48 - Ferry</t>
  </si>
  <si>
    <t>Parent 47 - Cutter yacht</t>
  </si>
  <si>
    <t>Parent 45 - Small coastal trader</t>
  </si>
  <si>
    <t>Parent 43 - Cutter</t>
  </si>
  <si>
    <t>Parent 42 - Cutter</t>
  </si>
  <si>
    <t>Parent 41 - Ro-Ro ship</t>
  </si>
  <si>
    <t>Parent 40 - Icebreaker</t>
  </si>
  <si>
    <t>Parent 39 - River coaster</t>
  </si>
  <si>
    <t>Parent 38 - High speed displacement vessel</t>
  </si>
  <si>
    <t>Parent 37 - Ro-Ro ship</t>
  </si>
  <si>
    <t>Parent 36 - Shallow draft tanker</t>
  </si>
  <si>
    <t>Parent 34 - Sailing yacht</t>
  </si>
  <si>
    <t>Parent 33 - Tug</t>
  </si>
  <si>
    <t>Parent 32 - Ferryboat</t>
  </si>
  <si>
    <t>Parent 31 - Containership</t>
  </si>
  <si>
    <t>Parent 30 - Bulkcarrier</t>
  </si>
  <si>
    <t>Parent 29 - Heavy load ship</t>
  </si>
  <si>
    <t>Parent 27 - Supplier</t>
  </si>
  <si>
    <t>Parent 26 - Containership</t>
  </si>
  <si>
    <t>Parent 25 - Sterntrawler</t>
  </si>
  <si>
    <t>Parent 23 - Refrigerated ship</t>
  </si>
  <si>
    <t>Parent 22 - Sterntrawler</t>
  </si>
  <si>
    <t>Parent 21 - Refrigerated ship</t>
  </si>
  <si>
    <t>Parent 20 - Barge carrier</t>
  </si>
  <si>
    <t>Parent 19 - Container ship</t>
  </si>
  <si>
    <t>Parent 18 - multi purpose ship</t>
  </si>
  <si>
    <t>Parent 17 - Multi purpose ship</t>
  </si>
  <si>
    <t>Parent 13 - River supply tanker</t>
  </si>
  <si>
    <t>Parent 12 - Reefer</t>
  </si>
  <si>
    <t>Parent 11 - Ferry ship</t>
  </si>
  <si>
    <t>Parent 10 - Ro-ro ship</t>
  </si>
  <si>
    <t>Parent 09 - Sterntrawler</t>
  </si>
  <si>
    <t>Parent 08 - Coaster</t>
  </si>
  <si>
    <t>Parent 07 - Supplier vessel</t>
  </si>
  <si>
    <t>Parent 06 - Crude oil tanker</t>
  </si>
  <si>
    <t>Parent 05 - Containership</t>
  </si>
  <si>
    <t>Parent 04 - Containership</t>
  </si>
  <si>
    <t>Parent 03 - Bulkcarrier</t>
  </si>
  <si>
    <t>Parent 02 - Containership</t>
  </si>
  <si>
    <t>Parent 01 - Fast cargoship</t>
  </si>
  <si>
    <t>NPL 100A - High speed round bilge displacement hull series</t>
  </si>
  <si>
    <t>NMI (formerly Ship Division NPL)</t>
  </si>
  <si>
    <t>Sergio Diaz</t>
  </si>
  <si>
    <t>Data taken from RINA paper dated 1976 and scaled by 10</t>
  </si>
  <si>
    <t>10.92 m. planing motoryacht</t>
  </si>
  <si>
    <t>Motorboat</t>
  </si>
  <si>
    <t>128 t. displacement</t>
  </si>
  <si>
    <t>Developable motorboat</t>
  </si>
  <si>
    <t>Imported from Autoyacht 4</t>
  </si>
  <si>
    <t>Chined motorboat displacement 24.9 t.</t>
  </si>
  <si>
    <t>Modern (1875) Malecite St. John River Canoe</t>
  </si>
  <si>
    <t>Lines collected by Edwin Adney</t>
  </si>
  <si>
    <t>Bryan Hansel  www.nessmuking.com</t>
  </si>
  <si>
    <t>Measurements taken from The Bark Canoes and Skin Boats of North America, p.79, figure 70</t>
  </si>
  <si>
    <t>Mathilde</t>
  </si>
  <si>
    <t>Traditional Pilot Cutter</t>
  </si>
  <si>
    <t>Mary Rose</t>
  </si>
  <si>
    <t>Bertrand Dupuis</t>
  </si>
  <si>
    <t>Downloaded from Wolfson unit as a VRML file</t>
  </si>
  <si>
    <t>M2 JMN (28Pds)</t>
  </si>
  <si>
    <t>Luna Rossa (Ita 45) (Spirit of ...)</t>
  </si>
  <si>
    <t>CRANA Organisation Modeller</t>
  </si>
  <si>
    <t>Little America 9m</t>
  </si>
  <si>
    <t>Kiyoshi  Yano</t>
  </si>
  <si>
    <t>Design test</t>
  </si>
  <si>
    <t>Seabrite to fit Garage at Maximum Displacement</t>
  </si>
  <si>
    <t>M. Sanderse</t>
  </si>
  <si>
    <t>Marven</t>
  </si>
  <si>
    <t>Imported from hulls program</t>
  </si>
  <si>
    <t>Laser open class sailboat</t>
  </si>
  <si>
    <t>KittyCat175</t>
  </si>
  <si>
    <t>17.5 ft CatBoat cruising hull suitable for small traditional cabin</t>
  </si>
  <si>
    <t>Kirawan</t>
  </si>
  <si>
    <t>Philip L. Rhodes</t>
  </si>
  <si>
    <t>11.81 m sailingyacht displacement=20.8 t.</t>
  </si>
  <si>
    <t>40 ft Sloop</t>
  </si>
  <si>
    <t>Anders M</t>
  </si>
  <si>
    <t>Igdlorssuit: Kayak measurements from boat built for Kenneth Taylor</t>
  </si>
  <si>
    <t>Bryan Hansel / Andrey Factor</t>
  </si>
  <si>
    <t>Andrey Factor</t>
  </si>
  <si>
    <t>Brian created the hull in Hulls, and then Andrey imported the file into freeship scaled the hull and designed the deck.</t>
  </si>
  <si>
    <t>Igdlorssuit</t>
  </si>
  <si>
    <t>Built in Igdlorssuit for Kenneth Taylor in 1959</t>
  </si>
  <si>
    <t>Bryan Hansel (www.nessmuking.com)</t>
  </si>
  <si>
    <t>Originally built skin on frame. Lines taken in 1964 formed the basis for the Anas Acuta.  Markers show the original offsets.</t>
  </si>
  <si>
    <t>Guideboat15</t>
  </si>
  <si>
    <t>Steven Lewis in Carene and imported</t>
  </si>
  <si>
    <t>This is a transomed motor canoe for stitch and glue, one is currently being built.</t>
  </si>
  <si>
    <t>Grean RL1  A kayak based on a s-o-f built by Bryan for Bryan</t>
  </si>
  <si>
    <t>Andrey Factor / Bryan Hansel</t>
  </si>
  <si>
    <t>Heavily modified from the original design but using general shape.</t>
  </si>
  <si>
    <t>Demo tug</t>
  </si>
  <si>
    <t>Demo tug used in the FREE!ship manual Displ. 283 t.</t>
  </si>
  <si>
    <t>FREE!ship demo 6</t>
  </si>
  <si>
    <t>FREE!ship demo 5</t>
  </si>
  <si>
    <t>Chemical tanker</t>
  </si>
  <si>
    <t>Supplier 3083 tonnes displacement</t>
  </si>
  <si>
    <t>120m containership</t>
  </si>
  <si>
    <t>FREE!ship demo 2</t>
  </si>
  <si>
    <t>FREE!ship demo 1</t>
  </si>
  <si>
    <t>Fishing vessel</t>
  </si>
  <si>
    <t>Jonas Dubois</t>
  </si>
  <si>
    <t>16m-Fahrtenketch</t>
  </si>
  <si>
    <t>Manfred Schlott</t>
  </si>
  <si>
    <t>Langfahrtyacht für weltweite Fahrt</t>
  </si>
  <si>
    <t>Eric</t>
  </si>
  <si>
    <t>William Atkin</t>
  </si>
  <si>
    <t>Collin Archer type ketch</t>
  </si>
  <si>
    <t>Swedish  E-class sailing canoe</t>
  </si>
  <si>
    <t>J. Sass,  Vaxholm     Sweden</t>
  </si>
  <si>
    <t>J. Sass   May 2006</t>
  </si>
  <si>
    <t>www.kanotseglarna.se</t>
  </si>
  <si>
    <t>Eka from Senoren</t>
  </si>
  <si>
    <t>Marcin Johansson</t>
  </si>
  <si>
    <t>A old style wooden boat from southern part of Sweden. Not ready but wanted to share it. Still learning the program.</t>
  </si>
  <si>
    <t>Double_Chine</t>
  </si>
  <si>
    <t>Martin Monteverde_ARGENTINA</t>
  </si>
  <si>
    <t>Martin Monteverde</t>
  </si>
  <si>
    <t>Double chine hull for low planning speed</t>
  </si>
  <si>
    <t>Dockbox</t>
  </si>
  <si>
    <t>Jim Michalak, plans via duckworks magazine.com</t>
  </si>
  <si>
    <t>Not 100% exact, but fairly close.</t>
  </si>
  <si>
    <t>Motichine 8</t>
  </si>
  <si>
    <t>Andrey Factor using Hull as a base</t>
  </si>
  <si>
    <t>Designed using Hull as a base</t>
  </si>
  <si>
    <t>DEFAULT-3b</t>
  </si>
  <si>
    <t>Bryan Hansel</t>
  </si>
  <si>
    <t>Double ended rowboat after Bolgers Cartoon 5</t>
  </si>
  <si>
    <t>Classe 1 M</t>
  </si>
  <si>
    <t>Chubby Trailer Sailer</t>
  </si>
  <si>
    <t>19 Flat-bottomed double-ender.  A concept drawing, done for practice.</t>
  </si>
  <si>
    <t>Chads boat</t>
  </si>
  <si>
    <t>Canot Breton</t>
  </si>
  <si>
    <t>Roland Grard</t>
  </si>
  <si>
    <t>CANOT540</t>
  </si>
  <si>
    <t>mare25</t>
  </si>
  <si>
    <t>Canoe Yawl</t>
  </si>
  <si>
    <t>Heavily influenced by Albert Strange design Wenda</t>
  </si>
  <si>
    <t>Raritania</t>
  </si>
  <si>
    <t>W P Stephens</t>
  </si>
  <si>
    <t>Graham Finney</t>
  </si>
  <si>
    <t>Lifted from offsets published in W.P.Stephens "Canoe and Boatbuilding for Amateurs"</t>
  </si>
  <si>
    <t>Camaronero 21 - 21m shrimp trawler</t>
  </si>
  <si>
    <t>Jesus Garcia</t>
  </si>
  <si>
    <t>Bulkcarrier</t>
  </si>
  <si>
    <t>152 m. Bulkcarrier</t>
  </si>
  <si>
    <t>BrierCreekBoat</t>
  </si>
  <si>
    <t>This is an old timey poll/paddle boat from a small region in Gorgia USA, it is narrow at stern with a live well in the middle.</t>
  </si>
  <si>
    <t>Twin keel yacht</t>
  </si>
  <si>
    <t>Downloaded from Wolfson Unit as a VRML file</t>
  </si>
  <si>
    <t>Benacus 33 fast</t>
  </si>
  <si>
    <t>America Cup Class</t>
  </si>
  <si>
    <t>Model 5415</t>
  </si>
  <si>
    <t>Preliminary design for a Navy surface combatant ca. 1980 with sonar dome</t>
  </si>
  <si>
    <t>60 Pds JMN</t>
  </si>
  <si>
    <t>Ocean Cruiser for 2</t>
  </si>
  <si>
    <t>This hull is designed for SailMotorCruising to the Sweet spots of the world. Adapted from George Buehlers "Hagar".</t>
  </si>
  <si>
    <t>34feet Sloop</t>
  </si>
  <si>
    <t>26 Pieds Rule Box</t>
  </si>
  <si>
    <t>26 meter tug</t>
  </si>
  <si>
    <t>CB=0.51 CP=0.61 Displ 408 t.</t>
  </si>
  <si>
    <t>Multi-Pourpose Self-propelled Barge</t>
  </si>
  <si>
    <t>October 2005</t>
  </si>
  <si>
    <t>12 ft. Sailing Dinghy</t>
  </si>
  <si>
    <t>11 m. sailing yacht</t>
  </si>
  <si>
    <t>11m hull JMN</t>
  </si>
  <si>
    <t>Fisher10</t>
  </si>
  <si>
    <t>Carene 50 (way back when) and imported</t>
  </si>
  <si>
    <t>Shallow Vee fishing boat for up to 3. This one has been built.</t>
  </si>
  <si>
    <t>Notus</t>
  </si>
  <si>
    <t>R.W. Gibson</t>
  </si>
  <si>
    <t>Racing and Cruising Canoe</t>
  </si>
  <si>
    <t>6 X 1.5 Meters motorboat yacht with cabin</t>
  </si>
  <si>
    <t>Leonel Murgu</t>
  </si>
  <si>
    <t>Future construction</t>
  </si>
  <si>
    <t>Sailing yacht</t>
  </si>
  <si>
    <t>Pier c</t>
  </si>
  <si>
    <t>50 inches model</t>
  </si>
  <si>
    <t>Is Hull</t>
  </si>
  <si>
    <t>Is Solid</t>
  </si>
  <si>
    <t>Is Boat</t>
  </si>
  <si>
    <t>Is Kayak</t>
  </si>
  <si>
    <t>Deep V motorcraft</t>
  </si>
  <si>
    <t>Person CAD model</t>
  </si>
  <si>
    <t>Submarine</t>
  </si>
  <si>
    <t>Oil rigg</t>
  </si>
  <si>
    <t>Katamaran</t>
  </si>
  <si>
    <t>40 sailing yacht</t>
  </si>
  <si>
    <t>8.8 tonnes, CP=0.611</t>
  </si>
  <si>
    <t>Must be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</si>
</sst>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nesto Lopez" id="{4A4465A8-06A0-4E3D-BB1F-6939F7555E93}" userId="Ernesto Lopez" providerId="None"/>
  <person displayName="Kjetil Vasstein" id="{F6F315E9-5DB7-4894-8B44-A3261B013BE1}" userId="a5fd993680245e1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2-10-07T09:35:25.28" personId="{4A4465A8-06A0-4E3D-BB1F-6939F7555E93}" id="{B9506FFA-5E6F-4BA2-AD50-B6842C1AC260}">
    <text>Is just a hull of a ship?</text>
  </threadedComment>
  <threadedComment ref="G1" dT="2022-10-07T11:36:33.15" personId="{F6F315E9-5DB7-4894-8B44-A3261B013BE1}" id="{0C00C5B2-1B8B-4FBB-9D71-6C2549002AE4}" parentId="{B9506FFA-5E6F-4BA2-AD50-B6842C1AC260}">
    <text>Yes</text>
  </threadedComment>
  <threadedComment ref="H1" dT="2022-10-07T09:35:43.14" personId="{4A4465A8-06A0-4E3D-BB1F-6939F7555E93}" id="{A73F5159-607C-40EC-84F7-4102CD2BC3FD}">
    <text>Is a closed surfaced model?</text>
  </threadedComment>
  <threadedComment ref="H1" dT="2022-10-07T11:37:28.54" personId="{F6F315E9-5DB7-4894-8B44-A3261B013BE1}" id="{99CCB72A-6BE6-4129-9C01-00E5AC3541CC}" parentId="{A73F5159-607C-40EC-84F7-4102CD2BC3FD}">
    <text>Yes. Basically that the 3D model is a Manifold. Not easy to see perhaps</text>
  </threadedComment>
  <threadedComment ref="I1" dT="2022-10-07T09:36:12.52" personId="{4A4465A8-06A0-4E3D-BB1F-6939F7555E93}" id="{84435883-096E-4E97-BF90-6C3851EEE006}">
    <text>Is the model a part of a boat or ship?</text>
  </threadedComment>
  <threadedComment ref="I1" dT="2022-10-07T11:39:15.75" personId="{F6F315E9-5DB7-4894-8B44-A3261B013BE1}" id="{0356775D-147F-4025-96FE-94E8BA0FC840}" parentId="{84435883-096E-4E97-BF90-6C3851EEE006}">
    <text>We could potentially made categories here instead. Sailboat, Kajak, Oil Rigg, speedboat, etc. Just wanted to separate the non boat stuff such as airplanes from the dataset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3"/>
  <sheetViews>
    <sheetView tabSelected="1" workbookViewId="0">
      <selection activeCell="M5" sqref="M5"/>
    </sheetView>
  </sheetViews>
  <sheetFormatPr baseColWidth="10" defaultColWidth="9.140625" defaultRowHeight="15" x14ac:dyDescent="0.25"/>
  <cols>
    <col min="2" max="2" width="24.42578125" customWidth="1"/>
    <col min="3" max="3" width="18.42578125" customWidth="1"/>
    <col min="4" max="4" width="15.42578125" customWidth="1"/>
    <col min="5" max="5" width="13.28515625" style="6" customWidth="1"/>
    <col min="6" max="6" width="40.42578125" customWidth="1"/>
    <col min="12" max="12" width="16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t="s">
        <v>625</v>
      </c>
      <c r="H1" t="s">
        <v>626</v>
      </c>
      <c r="I1" t="s">
        <v>627</v>
      </c>
      <c r="J1" t="s">
        <v>628</v>
      </c>
      <c r="L1" t="s">
        <v>636</v>
      </c>
    </row>
    <row r="2" spans="1:12" x14ac:dyDescent="0.25">
      <c r="A2" s="3">
        <v>1</v>
      </c>
      <c r="B2" s="3" t="s">
        <v>622</v>
      </c>
      <c r="C2" s="3" t="s">
        <v>7</v>
      </c>
      <c r="D2" s="3" t="s">
        <v>623</v>
      </c>
      <c r="E2" s="5" t="s">
        <v>130</v>
      </c>
      <c r="F2" s="3" t="s">
        <v>624</v>
      </c>
      <c r="G2">
        <v>1</v>
      </c>
      <c r="H2">
        <v>0</v>
      </c>
      <c r="I2">
        <v>1</v>
      </c>
      <c r="L2">
        <f>G2*(1-H2)*I2</f>
        <v>1</v>
      </c>
    </row>
    <row r="3" spans="1:12" ht="30" x14ac:dyDescent="0.25">
      <c r="A3" s="3">
        <v>2</v>
      </c>
      <c r="B3" s="3" t="s">
        <v>6</v>
      </c>
      <c r="C3" s="3" t="s">
        <v>7</v>
      </c>
      <c r="D3" s="3" t="s">
        <v>7</v>
      </c>
      <c r="E3" s="5" t="s">
        <v>8</v>
      </c>
      <c r="F3" s="3" t="s">
        <v>9</v>
      </c>
      <c r="G3">
        <v>1</v>
      </c>
      <c r="H3">
        <v>0</v>
      </c>
      <c r="I3">
        <v>1</v>
      </c>
      <c r="L3">
        <f t="shared" ref="L3:L66" si="0">G3*(1-H3)*I3</f>
        <v>1</v>
      </c>
    </row>
    <row r="4" spans="1:12" x14ac:dyDescent="0.25">
      <c r="A4" s="3">
        <v>3</v>
      </c>
      <c r="B4" s="3" t="s">
        <v>10</v>
      </c>
      <c r="C4" s="3" t="s">
        <v>7</v>
      </c>
      <c r="D4" s="3" t="s">
        <v>11</v>
      </c>
      <c r="E4" s="5" t="s">
        <v>8</v>
      </c>
      <c r="F4" s="3" t="s">
        <v>12</v>
      </c>
      <c r="G4">
        <v>1</v>
      </c>
      <c r="H4">
        <v>0</v>
      </c>
      <c r="I4">
        <v>1</v>
      </c>
      <c r="L4">
        <f t="shared" si="0"/>
        <v>1</v>
      </c>
    </row>
    <row r="5" spans="1:12" x14ac:dyDescent="0.25">
      <c r="A5" s="3">
        <v>4</v>
      </c>
      <c r="B5" s="3" t="s">
        <v>13</v>
      </c>
      <c r="C5" s="3" t="s">
        <v>14</v>
      </c>
      <c r="D5" s="3"/>
      <c r="E5" s="5" t="s">
        <v>15</v>
      </c>
      <c r="F5" s="3"/>
      <c r="G5">
        <v>0</v>
      </c>
      <c r="H5">
        <v>1</v>
      </c>
      <c r="I5">
        <v>1</v>
      </c>
      <c r="L5">
        <f t="shared" si="0"/>
        <v>0</v>
      </c>
    </row>
    <row r="6" spans="1:12" ht="30" x14ac:dyDescent="0.25">
      <c r="A6" s="3">
        <v>5</v>
      </c>
      <c r="B6" s="3" t="s">
        <v>16</v>
      </c>
      <c r="C6" s="3"/>
      <c r="D6" s="3" t="s">
        <v>17</v>
      </c>
      <c r="E6" s="5" t="s">
        <v>18</v>
      </c>
      <c r="F6" s="3"/>
      <c r="G6">
        <v>1</v>
      </c>
      <c r="H6">
        <v>1</v>
      </c>
      <c r="I6">
        <v>1</v>
      </c>
      <c r="L6">
        <f t="shared" si="0"/>
        <v>0</v>
      </c>
    </row>
    <row r="7" spans="1:12" x14ac:dyDescent="0.25">
      <c r="A7" s="3">
        <v>6</v>
      </c>
      <c r="B7" s="3" t="s">
        <v>19</v>
      </c>
      <c r="C7" s="3"/>
      <c r="D7" s="3"/>
      <c r="E7" s="5" t="s">
        <v>20</v>
      </c>
      <c r="F7" s="3"/>
      <c r="G7">
        <v>1</v>
      </c>
      <c r="H7">
        <v>0</v>
      </c>
      <c r="I7">
        <v>1</v>
      </c>
      <c r="L7">
        <f t="shared" si="0"/>
        <v>1</v>
      </c>
    </row>
    <row r="8" spans="1:12" x14ac:dyDescent="0.25">
      <c r="A8" s="3">
        <v>7</v>
      </c>
      <c r="B8" s="3" t="s">
        <v>21</v>
      </c>
      <c r="C8" s="3"/>
      <c r="D8" s="3"/>
      <c r="E8" s="5" t="s">
        <v>22</v>
      </c>
      <c r="F8" s="3"/>
      <c r="G8">
        <v>0</v>
      </c>
      <c r="H8">
        <v>1</v>
      </c>
      <c r="I8">
        <v>0</v>
      </c>
      <c r="L8">
        <f t="shared" si="0"/>
        <v>0</v>
      </c>
    </row>
    <row r="9" spans="1:12" x14ac:dyDescent="0.25">
      <c r="A9" s="3">
        <v>8</v>
      </c>
      <c r="B9" s="3" t="s">
        <v>23</v>
      </c>
      <c r="C9" s="3"/>
      <c r="D9" s="3"/>
      <c r="E9" s="5" t="s">
        <v>24</v>
      </c>
      <c r="F9" s="3"/>
      <c r="G9">
        <v>0</v>
      </c>
      <c r="H9">
        <v>1</v>
      </c>
      <c r="I9">
        <v>1</v>
      </c>
      <c r="L9">
        <f t="shared" si="0"/>
        <v>0</v>
      </c>
    </row>
    <row r="10" spans="1:12" x14ac:dyDescent="0.25">
      <c r="A10" s="3">
        <v>9</v>
      </c>
      <c r="B10" s="3" t="s">
        <v>25</v>
      </c>
      <c r="C10" s="3"/>
      <c r="D10" s="3"/>
      <c r="E10" s="5" t="s">
        <v>24</v>
      </c>
      <c r="F10" s="3"/>
      <c r="G10">
        <v>0</v>
      </c>
      <c r="H10">
        <v>1</v>
      </c>
      <c r="I10">
        <v>1</v>
      </c>
      <c r="L10">
        <f t="shared" si="0"/>
        <v>0</v>
      </c>
    </row>
    <row r="11" spans="1:12" x14ac:dyDescent="0.25">
      <c r="A11" s="3">
        <v>10</v>
      </c>
      <c r="B11" s="3" t="s">
        <v>26</v>
      </c>
      <c r="C11" s="3"/>
      <c r="D11" s="3"/>
      <c r="E11" s="5" t="s">
        <v>24</v>
      </c>
      <c r="F11" s="3"/>
      <c r="G11">
        <v>0</v>
      </c>
      <c r="H11">
        <v>1</v>
      </c>
      <c r="I11">
        <v>1</v>
      </c>
      <c r="L11">
        <f t="shared" si="0"/>
        <v>0</v>
      </c>
    </row>
    <row r="12" spans="1:12" ht="60" x14ac:dyDescent="0.25">
      <c r="A12" s="3">
        <v>11</v>
      </c>
      <c r="B12" s="3" t="s">
        <v>27</v>
      </c>
      <c r="C12" s="3" t="s">
        <v>28</v>
      </c>
      <c r="D12" s="3" t="s">
        <v>29</v>
      </c>
      <c r="E12" s="5" t="s">
        <v>24</v>
      </c>
      <c r="F12" s="3" t="s">
        <v>30</v>
      </c>
      <c r="G12">
        <v>1</v>
      </c>
      <c r="H12">
        <v>1</v>
      </c>
      <c r="I12">
        <v>1</v>
      </c>
      <c r="L12">
        <f t="shared" si="0"/>
        <v>0</v>
      </c>
    </row>
    <row r="13" spans="1:12" x14ac:dyDescent="0.25">
      <c r="A13" s="3">
        <v>12</v>
      </c>
      <c r="B13" s="3" t="s">
        <v>31</v>
      </c>
      <c r="C13" s="3"/>
      <c r="D13" s="3"/>
      <c r="E13" s="5" t="s">
        <v>32</v>
      </c>
      <c r="F13" s="3"/>
      <c r="G13">
        <v>0</v>
      </c>
      <c r="H13">
        <v>1</v>
      </c>
      <c r="I13">
        <v>1</v>
      </c>
      <c r="L13">
        <f t="shared" si="0"/>
        <v>0</v>
      </c>
    </row>
    <row r="14" spans="1:12" x14ac:dyDescent="0.25">
      <c r="A14" s="3">
        <v>13</v>
      </c>
      <c r="B14" s="3" t="s">
        <v>33</v>
      </c>
      <c r="C14" s="3" t="s">
        <v>34</v>
      </c>
      <c r="D14" s="3" t="s">
        <v>35</v>
      </c>
      <c r="E14" s="5" t="s">
        <v>32</v>
      </c>
      <c r="F14" s="3" t="s">
        <v>36</v>
      </c>
      <c r="G14">
        <v>1</v>
      </c>
      <c r="H14">
        <v>0</v>
      </c>
      <c r="I14">
        <v>1</v>
      </c>
      <c r="L14">
        <f t="shared" si="0"/>
        <v>1</v>
      </c>
    </row>
    <row r="15" spans="1:12" ht="30" x14ac:dyDescent="0.25">
      <c r="A15" s="3">
        <v>14</v>
      </c>
      <c r="B15" s="3" t="s">
        <v>37</v>
      </c>
      <c r="C15" s="3"/>
      <c r="D15" s="3" t="s">
        <v>38</v>
      </c>
      <c r="E15" s="5" t="s">
        <v>32</v>
      </c>
      <c r="F15" s="3"/>
      <c r="G15">
        <v>0</v>
      </c>
      <c r="H15">
        <v>1</v>
      </c>
      <c r="I15">
        <v>1</v>
      </c>
      <c r="L15">
        <f t="shared" si="0"/>
        <v>0</v>
      </c>
    </row>
    <row r="16" spans="1:12" x14ac:dyDescent="0.25">
      <c r="A16" s="3">
        <v>15</v>
      </c>
      <c r="B16" s="3" t="s">
        <v>39</v>
      </c>
      <c r="C16" s="3"/>
      <c r="D16" s="3"/>
      <c r="E16" s="5" t="s">
        <v>40</v>
      </c>
      <c r="F16" s="3" t="s">
        <v>41</v>
      </c>
      <c r="G16">
        <v>0</v>
      </c>
      <c r="H16">
        <v>1</v>
      </c>
      <c r="I16">
        <v>1</v>
      </c>
      <c r="L16">
        <f t="shared" si="0"/>
        <v>0</v>
      </c>
    </row>
    <row r="17" spans="1:12" ht="45" x14ac:dyDescent="0.25">
      <c r="A17" s="3">
        <v>16</v>
      </c>
      <c r="B17" s="3" t="s">
        <v>42</v>
      </c>
      <c r="C17" s="3" t="s">
        <v>28</v>
      </c>
      <c r="D17" s="3" t="s">
        <v>43</v>
      </c>
      <c r="E17" s="5" t="s">
        <v>44</v>
      </c>
      <c r="F17" s="3" t="s">
        <v>45</v>
      </c>
      <c r="G17">
        <v>0</v>
      </c>
      <c r="H17">
        <v>0</v>
      </c>
      <c r="I17">
        <v>1</v>
      </c>
      <c r="L17">
        <f t="shared" si="0"/>
        <v>0</v>
      </c>
    </row>
    <row r="18" spans="1:12" ht="30" x14ac:dyDescent="0.25">
      <c r="A18" s="3">
        <v>17</v>
      </c>
      <c r="B18" s="3" t="s">
        <v>46</v>
      </c>
      <c r="C18" s="3" t="s">
        <v>47</v>
      </c>
      <c r="D18" s="3" t="s">
        <v>47</v>
      </c>
      <c r="E18" s="5" t="s">
        <v>40</v>
      </c>
      <c r="F18" s="3" t="s">
        <v>48</v>
      </c>
      <c r="G18">
        <v>0</v>
      </c>
      <c r="H18">
        <v>1</v>
      </c>
      <c r="I18">
        <v>1</v>
      </c>
      <c r="L18">
        <f t="shared" si="0"/>
        <v>0</v>
      </c>
    </row>
    <row r="19" spans="1:12" ht="30" x14ac:dyDescent="0.25">
      <c r="A19" s="3">
        <v>18</v>
      </c>
      <c r="B19" s="3" t="s">
        <v>49</v>
      </c>
      <c r="C19" s="3" t="s">
        <v>50</v>
      </c>
      <c r="D19" s="3" t="s">
        <v>50</v>
      </c>
      <c r="E19" s="5" t="s">
        <v>51</v>
      </c>
      <c r="F19" s="3" t="s">
        <v>52</v>
      </c>
      <c r="G19">
        <v>0</v>
      </c>
      <c r="H19">
        <v>1</v>
      </c>
      <c r="I19">
        <v>1</v>
      </c>
      <c r="L19">
        <f t="shared" si="0"/>
        <v>0</v>
      </c>
    </row>
    <row r="20" spans="1:12" x14ac:dyDescent="0.25">
      <c r="A20" s="3">
        <v>19</v>
      </c>
      <c r="B20" s="3" t="s">
        <v>53</v>
      </c>
      <c r="C20" s="3"/>
      <c r="D20" s="3"/>
      <c r="E20" s="5" t="s">
        <v>54</v>
      </c>
      <c r="F20" s="3"/>
      <c r="G20">
        <v>0</v>
      </c>
      <c r="H20">
        <v>1</v>
      </c>
      <c r="I20">
        <v>1</v>
      </c>
      <c r="L20">
        <f t="shared" si="0"/>
        <v>0</v>
      </c>
    </row>
    <row r="21" spans="1:12" x14ac:dyDescent="0.25">
      <c r="A21" s="3">
        <v>20</v>
      </c>
      <c r="B21" s="3" t="s">
        <v>55</v>
      </c>
      <c r="C21" s="3" t="s">
        <v>56</v>
      </c>
      <c r="D21" s="3" t="s">
        <v>57</v>
      </c>
      <c r="E21" s="5" t="s">
        <v>40</v>
      </c>
      <c r="F21" s="3"/>
      <c r="G21">
        <v>1</v>
      </c>
      <c r="H21">
        <v>0</v>
      </c>
      <c r="I21">
        <v>1</v>
      </c>
      <c r="L21">
        <f t="shared" si="0"/>
        <v>1</v>
      </c>
    </row>
    <row r="22" spans="1:12" x14ac:dyDescent="0.25">
      <c r="A22" s="3">
        <v>21</v>
      </c>
      <c r="B22" s="3" t="s">
        <v>58</v>
      </c>
      <c r="C22" s="3" t="s">
        <v>59</v>
      </c>
      <c r="D22" s="3" t="s">
        <v>57</v>
      </c>
      <c r="E22" s="5" t="s">
        <v>40</v>
      </c>
      <c r="F22" s="3"/>
      <c r="G22">
        <v>1</v>
      </c>
      <c r="H22">
        <v>0</v>
      </c>
      <c r="I22">
        <v>1</v>
      </c>
      <c r="L22">
        <f t="shared" si="0"/>
        <v>1</v>
      </c>
    </row>
    <row r="23" spans="1:12" x14ac:dyDescent="0.25">
      <c r="A23" s="3">
        <v>22</v>
      </c>
      <c r="B23" s="3" t="s">
        <v>60</v>
      </c>
      <c r="C23" s="3"/>
      <c r="D23" s="3" t="s">
        <v>57</v>
      </c>
      <c r="E23" s="5" t="s">
        <v>40</v>
      </c>
      <c r="F23" s="3"/>
      <c r="G23">
        <v>1</v>
      </c>
      <c r="H23">
        <v>0</v>
      </c>
      <c r="I23">
        <v>1</v>
      </c>
      <c r="L23">
        <f t="shared" si="0"/>
        <v>1</v>
      </c>
    </row>
    <row r="24" spans="1:12" x14ac:dyDescent="0.25">
      <c r="A24" s="3">
        <v>23</v>
      </c>
      <c r="B24" s="3" t="s">
        <v>61</v>
      </c>
      <c r="C24" s="3"/>
      <c r="D24" s="3"/>
      <c r="E24" s="5" t="s">
        <v>40</v>
      </c>
      <c r="F24" s="3"/>
      <c r="G24">
        <v>1</v>
      </c>
      <c r="H24">
        <v>0</v>
      </c>
      <c r="I24">
        <v>1</v>
      </c>
      <c r="L24">
        <f t="shared" si="0"/>
        <v>1</v>
      </c>
    </row>
    <row r="25" spans="1:12" x14ac:dyDescent="0.25">
      <c r="A25" s="3">
        <v>24</v>
      </c>
      <c r="B25" s="3" t="s">
        <v>62</v>
      </c>
      <c r="C25" s="3"/>
      <c r="D25" s="3"/>
      <c r="E25" s="5" t="s">
        <v>40</v>
      </c>
      <c r="F25" s="3"/>
      <c r="G25">
        <v>1</v>
      </c>
      <c r="H25">
        <v>0</v>
      </c>
      <c r="I25">
        <v>1</v>
      </c>
      <c r="L25">
        <f t="shared" si="0"/>
        <v>1</v>
      </c>
    </row>
    <row r="26" spans="1:12" ht="30" x14ac:dyDescent="0.25">
      <c r="A26" s="3">
        <v>25</v>
      </c>
      <c r="B26" s="3" t="s">
        <v>63</v>
      </c>
      <c r="C26" s="3" t="s">
        <v>64</v>
      </c>
      <c r="D26" s="3" t="s">
        <v>65</v>
      </c>
      <c r="E26" s="5" t="s">
        <v>54</v>
      </c>
      <c r="F26" s="3"/>
      <c r="G26">
        <v>1</v>
      </c>
      <c r="H26">
        <v>0</v>
      </c>
      <c r="I26">
        <v>1</v>
      </c>
      <c r="L26">
        <f t="shared" si="0"/>
        <v>1</v>
      </c>
    </row>
    <row r="27" spans="1:12" x14ac:dyDescent="0.25">
      <c r="A27" s="3">
        <v>26</v>
      </c>
      <c r="B27" s="3" t="s">
        <v>66</v>
      </c>
      <c r="C27" s="3" t="s">
        <v>67</v>
      </c>
      <c r="D27" s="3" t="s">
        <v>35</v>
      </c>
      <c r="E27" s="5" t="s">
        <v>68</v>
      </c>
      <c r="F27" s="3"/>
      <c r="G27">
        <v>0</v>
      </c>
      <c r="H27">
        <v>1</v>
      </c>
      <c r="I27">
        <v>1</v>
      </c>
      <c r="L27">
        <f t="shared" si="0"/>
        <v>0</v>
      </c>
    </row>
    <row r="28" spans="1:12" x14ac:dyDescent="0.25">
      <c r="A28" s="3">
        <v>27</v>
      </c>
      <c r="B28" s="3" t="s">
        <v>69</v>
      </c>
      <c r="C28" s="3"/>
      <c r="D28" s="3"/>
      <c r="E28" s="5" t="s">
        <v>68</v>
      </c>
      <c r="F28" s="3"/>
      <c r="G28">
        <v>0</v>
      </c>
      <c r="H28">
        <v>1</v>
      </c>
      <c r="I28">
        <v>1</v>
      </c>
      <c r="L28">
        <f t="shared" si="0"/>
        <v>0</v>
      </c>
    </row>
    <row r="29" spans="1:12" x14ac:dyDescent="0.25">
      <c r="A29" s="3">
        <v>28</v>
      </c>
      <c r="B29" s="3" t="s">
        <v>70</v>
      </c>
      <c r="C29" s="3" t="s">
        <v>71</v>
      </c>
      <c r="D29" s="3" t="s">
        <v>72</v>
      </c>
      <c r="E29" s="5" t="s">
        <v>73</v>
      </c>
      <c r="F29" s="3"/>
      <c r="G29">
        <v>0</v>
      </c>
      <c r="H29">
        <v>1</v>
      </c>
      <c r="I29">
        <v>1</v>
      </c>
      <c r="L29">
        <f t="shared" si="0"/>
        <v>0</v>
      </c>
    </row>
    <row r="30" spans="1:12" ht="30" x14ac:dyDescent="0.25">
      <c r="A30" s="3">
        <v>29</v>
      </c>
      <c r="B30" s="3" t="s">
        <v>74</v>
      </c>
      <c r="C30" s="3" t="s">
        <v>75</v>
      </c>
      <c r="D30" s="3" t="s">
        <v>76</v>
      </c>
      <c r="E30" s="5" t="s">
        <v>77</v>
      </c>
      <c r="F30" s="3" t="s">
        <v>78</v>
      </c>
      <c r="G30">
        <v>0</v>
      </c>
      <c r="H30">
        <v>1</v>
      </c>
      <c r="I30">
        <v>1</v>
      </c>
      <c r="L30">
        <f t="shared" si="0"/>
        <v>0</v>
      </c>
    </row>
    <row r="31" spans="1:12" x14ac:dyDescent="0.25">
      <c r="A31" s="3">
        <v>30</v>
      </c>
      <c r="B31" s="3" t="s">
        <v>79</v>
      </c>
      <c r="C31" s="3" t="s">
        <v>80</v>
      </c>
      <c r="D31" s="3" t="s">
        <v>35</v>
      </c>
      <c r="E31" s="5" t="s">
        <v>77</v>
      </c>
      <c r="F31" s="3"/>
      <c r="G31">
        <v>0</v>
      </c>
      <c r="H31">
        <v>1</v>
      </c>
      <c r="I31">
        <v>1</v>
      </c>
      <c r="L31">
        <f t="shared" si="0"/>
        <v>0</v>
      </c>
    </row>
    <row r="32" spans="1:12" x14ac:dyDescent="0.25">
      <c r="A32" s="3">
        <v>31</v>
      </c>
      <c r="B32" s="3" t="s">
        <v>81</v>
      </c>
      <c r="C32" s="3" t="s">
        <v>82</v>
      </c>
      <c r="D32" s="3" t="s">
        <v>35</v>
      </c>
      <c r="E32" s="5" t="s">
        <v>73</v>
      </c>
      <c r="F32" s="3" t="s">
        <v>36</v>
      </c>
      <c r="G32">
        <v>0</v>
      </c>
      <c r="H32">
        <v>1</v>
      </c>
      <c r="I32">
        <v>1</v>
      </c>
      <c r="L32">
        <f t="shared" si="0"/>
        <v>0</v>
      </c>
    </row>
    <row r="33" spans="1:12" x14ac:dyDescent="0.25">
      <c r="A33" s="3">
        <v>32</v>
      </c>
      <c r="B33" s="3" t="s">
        <v>83</v>
      </c>
      <c r="C33" s="3" t="s">
        <v>84</v>
      </c>
      <c r="D33" s="3" t="s">
        <v>35</v>
      </c>
      <c r="E33" s="5" t="s">
        <v>73</v>
      </c>
      <c r="F33" s="3"/>
      <c r="G33">
        <v>0</v>
      </c>
      <c r="H33">
        <v>1</v>
      </c>
      <c r="I33">
        <v>1</v>
      </c>
      <c r="L33">
        <f t="shared" si="0"/>
        <v>0</v>
      </c>
    </row>
    <row r="34" spans="1:12" x14ac:dyDescent="0.25">
      <c r="A34" s="3">
        <v>33</v>
      </c>
      <c r="B34" s="3" t="s">
        <v>85</v>
      </c>
      <c r="C34" s="3"/>
      <c r="D34" s="3" t="s">
        <v>86</v>
      </c>
      <c r="E34" s="5" t="s">
        <v>87</v>
      </c>
      <c r="F34" s="3" t="s">
        <v>88</v>
      </c>
      <c r="G34">
        <v>1</v>
      </c>
      <c r="H34">
        <v>0</v>
      </c>
      <c r="I34">
        <v>1</v>
      </c>
      <c r="L34">
        <f t="shared" si="0"/>
        <v>1</v>
      </c>
    </row>
    <row r="35" spans="1:12" x14ac:dyDescent="0.25">
      <c r="A35" s="3">
        <v>34</v>
      </c>
      <c r="B35" s="3" t="s">
        <v>89</v>
      </c>
      <c r="C35" s="3" t="s">
        <v>90</v>
      </c>
      <c r="D35" s="3" t="s">
        <v>91</v>
      </c>
      <c r="E35" s="5" t="s">
        <v>92</v>
      </c>
      <c r="F35" s="3" t="s">
        <v>93</v>
      </c>
      <c r="G35">
        <v>0</v>
      </c>
      <c r="H35">
        <v>1</v>
      </c>
      <c r="I35">
        <v>1</v>
      </c>
      <c r="L35">
        <f t="shared" si="0"/>
        <v>0</v>
      </c>
    </row>
    <row r="36" spans="1:12" ht="30" x14ac:dyDescent="0.25">
      <c r="A36" s="3">
        <v>35</v>
      </c>
      <c r="B36" s="3" t="s">
        <v>94</v>
      </c>
      <c r="C36" s="3" t="s">
        <v>95</v>
      </c>
      <c r="D36" s="3" t="s">
        <v>96</v>
      </c>
      <c r="E36" s="5" t="s">
        <v>97</v>
      </c>
      <c r="F36" s="3"/>
      <c r="G36">
        <v>1</v>
      </c>
      <c r="H36">
        <v>0</v>
      </c>
      <c r="I36">
        <v>1</v>
      </c>
      <c r="L36">
        <f t="shared" si="0"/>
        <v>1</v>
      </c>
    </row>
    <row r="37" spans="1:12" x14ac:dyDescent="0.25">
      <c r="A37" s="3">
        <v>36</v>
      </c>
      <c r="B37" s="3" t="s">
        <v>98</v>
      </c>
      <c r="C37" s="3" t="s">
        <v>99</v>
      </c>
      <c r="D37" s="3"/>
      <c r="E37" s="5" t="s">
        <v>100</v>
      </c>
      <c r="F37" s="3"/>
      <c r="G37">
        <v>0</v>
      </c>
      <c r="H37">
        <v>0</v>
      </c>
      <c r="I37">
        <v>1</v>
      </c>
      <c r="L37">
        <f t="shared" si="0"/>
        <v>0</v>
      </c>
    </row>
    <row r="38" spans="1:12" ht="30" x14ac:dyDescent="0.25">
      <c r="A38" s="3">
        <v>37</v>
      </c>
      <c r="B38" s="3" t="s">
        <v>101</v>
      </c>
      <c r="C38" s="3" t="s">
        <v>102</v>
      </c>
      <c r="D38" s="3" t="s">
        <v>103</v>
      </c>
      <c r="E38" s="5" t="s">
        <v>104</v>
      </c>
      <c r="F38" s="3"/>
      <c r="G38">
        <v>1</v>
      </c>
      <c r="H38">
        <v>0</v>
      </c>
      <c r="I38">
        <v>1</v>
      </c>
      <c r="L38">
        <f t="shared" si="0"/>
        <v>1</v>
      </c>
    </row>
    <row r="39" spans="1:12" x14ac:dyDescent="0.25">
      <c r="A39" s="3">
        <v>38</v>
      </c>
      <c r="B39" s="3" t="s">
        <v>105</v>
      </c>
      <c r="C39" s="3" t="s">
        <v>106</v>
      </c>
      <c r="D39" s="3" t="s">
        <v>106</v>
      </c>
      <c r="E39" s="5" t="s">
        <v>97</v>
      </c>
      <c r="F39" s="3"/>
      <c r="G39">
        <v>0</v>
      </c>
      <c r="H39">
        <v>0</v>
      </c>
      <c r="I39">
        <v>1</v>
      </c>
      <c r="L39">
        <f t="shared" si="0"/>
        <v>0</v>
      </c>
    </row>
    <row r="40" spans="1:12" x14ac:dyDescent="0.25">
      <c r="A40" s="3">
        <v>39</v>
      </c>
      <c r="B40" s="3" t="s">
        <v>107</v>
      </c>
      <c r="C40" s="3" t="s">
        <v>108</v>
      </c>
      <c r="D40" s="3"/>
      <c r="E40" s="5" t="s">
        <v>97</v>
      </c>
      <c r="F40" s="3"/>
      <c r="G40">
        <v>1</v>
      </c>
      <c r="H40">
        <v>0</v>
      </c>
      <c r="I40">
        <v>1</v>
      </c>
      <c r="L40">
        <f t="shared" si="0"/>
        <v>1</v>
      </c>
    </row>
    <row r="41" spans="1:12" x14ac:dyDescent="0.25">
      <c r="A41" s="3">
        <v>40</v>
      </c>
      <c r="B41" s="3" t="s">
        <v>109</v>
      </c>
      <c r="C41" s="3" t="s">
        <v>110</v>
      </c>
      <c r="D41" s="3" t="s">
        <v>110</v>
      </c>
      <c r="E41" s="5" t="s">
        <v>97</v>
      </c>
      <c r="F41" s="3"/>
      <c r="G41">
        <v>1</v>
      </c>
      <c r="H41">
        <v>0</v>
      </c>
      <c r="I41">
        <v>1</v>
      </c>
      <c r="L41">
        <f t="shared" si="0"/>
        <v>1</v>
      </c>
    </row>
    <row r="42" spans="1:12" x14ac:dyDescent="0.25">
      <c r="A42" s="3">
        <v>41</v>
      </c>
      <c r="B42" s="3" t="s">
        <v>111</v>
      </c>
      <c r="C42" s="3" t="s">
        <v>112</v>
      </c>
      <c r="D42" s="3" t="s">
        <v>113</v>
      </c>
      <c r="E42" s="5" t="s">
        <v>97</v>
      </c>
      <c r="F42" s="3"/>
      <c r="G42">
        <v>0</v>
      </c>
      <c r="H42">
        <v>0</v>
      </c>
      <c r="I42">
        <v>1</v>
      </c>
      <c r="L42">
        <f t="shared" si="0"/>
        <v>0</v>
      </c>
    </row>
    <row r="43" spans="1:12" ht="30" x14ac:dyDescent="0.25">
      <c r="A43" s="3">
        <v>42</v>
      </c>
      <c r="B43" s="3" t="s">
        <v>114</v>
      </c>
      <c r="C43" s="3" t="s">
        <v>115</v>
      </c>
      <c r="D43" s="3" t="s">
        <v>115</v>
      </c>
      <c r="E43" s="5" t="s">
        <v>97</v>
      </c>
      <c r="F43" s="3"/>
      <c r="G43">
        <v>0</v>
      </c>
      <c r="H43">
        <v>0</v>
      </c>
      <c r="I43">
        <v>1</v>
      </c>
      <c r="L43">
        <f t="shared" si="0"/>
        <v>0</v>
      </c>
    </row>
    <row r="44" spans="1:12" x14ac:dyDescent="0.25">
      <c r="A44" s="3">
        <v>43</v>
      </c>
      <c r="B44" s="3" t="s">
        <v>116</v>
      </c>
      <c r="C44" s="3"/>
      <c r="D44" s="3"/>
      <c r="E44" s="5" t="s">
        <v>97</v>
      </c>
      <c r="F44" s="3"/>
      <c r="G44">
        <v>1</v>
      </c>
      <c r="H44">
        <v>0</v>
      </c>
      <c r="I44">
        <v>1</v>
      </c>
      <c r="L44">
        <f t="shared" si="0"/>
        <v>1</v>
      </c>
    </row>
    <row r="45" spans="1:12" x14ac:dyDescent="0.25">
      <c r="A45" s="3">
        <v>44</v>
      </c>
      <c r="B45" s="3" t="s">
        <v>117</v>
      </c>
      <c r="C45" s="3"/>
      <c r="D45" s="3"/>
      <c r="E45" s="5" t="s">
        <v>97</v>
      </c>
      <c r="F45" s="3"/>
      <c r="G45">
        <v>1</v>
      </c>
      <c r="H45">
        <v>0</v>
      </c>
      <c r="I45">
        <v>1</v>
      </c>
      <c r="L45">
        <f t="shared" si="0"/>
        <v>1</v>
      </c>
    </row>
    <row r="46" spans="1:12" x14ac:dyDescent="0.25">
      <c r="A46" s="3">
        <v>45</v>
      </c>
      <c r="B46" s="3" t="s">
        <v>118</v>
      </c>
      <c r="C46" s="3"/>
      <c r="D46" s="3"/>
      <c r="E46" s="5" t="s">
        <v>97</v>
      </c>
      <c r="F46" s="3"/>
      <c r="G46">
        <v>1</v>
      </c>
      <c r="H46">
        <v>0</v>
      </c>
      <c r="I46">
        <v>1</v>
      </c>
      <c r="J46">
        <v>1</v>
      </c>
      <c r="K46" t="s">
        <v>633</v>
      </c>
      <c r="L46">
        <f t="shared" si="0"/>
        <v>1</v>
      </c>
    </row>
    <row r="47" spans="1:12" x14ac:dyDescent="0.25">
      <c r="A47" s="3">
        <v>46</v>
      </c>
      <c r="B47" s="3" t="s">
        <v>119</v>
      </c>
      <c r="C47" s="3" t="s">
        <v>120</v>
      </c>
      <c r="D47" s="3" t="s">
        <v>121</v>
      </c>
      <c r="E47" s="5" t="s">
        <v>97</v>
      </c>
      <c r="F47" s="3"/>
      <c r="G47">
        <v>1</v>
      </c>
      <c r="H47">
        <v>0</v>
      </c>
      <c r="I47">
        <v>1</v>
      </c>
      <c r="L47">
        <f t="shared" si="0"/>
        <v>1</v>
      </c>
    </row>
    <row r="48" spans="1:12" x14ac:dyDescent="0.25">
      <c r="A48" s="3">
        <v>47</v>
      </c>
      <c r="B48" s="3" t="s">
        <v>122</v>
      </c>
      <c r="C48" s="3" t="s">
        <v>76</v>
      </c>
      <c r="D48" s="3" t="s">
        <v>76</v>
      </c>
      <c r="E48" s="5" t="s">
        <v>123</v>
      </c>
      <c r="F48" s="3"/>
      <c r="G48">
        <v>0</v>
      </c>
      <c r="H48">
        <v>1</v>
      </c>
      <c r="I48">
        <v>1</v>
      </c>
      <c r="L48">
        <f t="shared" si="0"/>
        <v>0</v>
      </c>
    </row>
    <row r="49" spans="1:12" ht="30" x14ac:dyDescent="0.25">
      <c r="A49" s="3">
        <v>48</v>
      </c>
      <c r="B49" s="3" t="s">
        <v>124</v>
      </c>
      <c r="C49" s="3" t="s">
        <v>125</v>
      </c>
      <c r="D49" s="3" t="s">
        <v>126</v>
      </c>
      <c r="E49" s="5" t="s">
        <v>123</v>
      </c>
      <c r="F49" s="3"/>
      <c r="G49">
        <v>0</v>
      </c>
      <c r="H49">
        <v>1</v>
      </c>
      <c r="I49">
        <v>1</v>
      </c>
      <c r="L49">
        <f t="shared" si="0"/>
        <v>0</v>
      </c>
    </row>
    <row r="50" spans="1:12" x14ac:dyDescent="0.25">
      <c r="A50" s="3">
        <v>49</v>
      </c>
      <c r="B50" s="3" t="s">
        <v>127</v>
      </c>
      <c r="C50" s="3" t="s">
        <v>128</v>
      </c>
      <c r="D50" s="3" t="s">
        <v>128</v>
      </c>
      <c r="E50" s="5" t="s">
        <v>129</v>
      </c>
      <c r="F50" s="3"/>
      <c r="G50">
        <v>0</v>
      </c>
      <c r="H50">
        <v>1</v>
      </c>
      <c r="I50">
        <v>1</v>
      </c>
      <c r="L50">
        <f t="shared" si="0"/>
        <v>0</v>
      </c>
    </row>
    <row r="51" spans="1:12" ht="30" x14ac:dyDescent="0.25">
      <c r="A51" s="3">
        <v>50</v>
      </c>
      <c r="B51" s="3" t="s">
        <v>46</v>
      </c>
      <c r="C51" s="3" t="s">
        <v>47</v>
      </c>
      <c r="D51" s="3" t="s">
        <v>47</v>
      </c>
      <c r="E51" s="5" t="s">
        <v>130</v>
      </c>
      <c r="F51" s="3"/>
      <c r="G51">
        <v>0</v>
      </c>
      <c r="H51">
        <v>0</v>
      </c>
      <c r="I51">
        <v>1</v>
      </c>
      <c r="L51">
        <f t="shared" si="0"/>
        <v>0</v>
      </c>
    </row>
    <row r="52" spans="1:12" ht="45" x14ac:dyDescent="0.25">
      <c r="A52" s="3">
        <v>51</v>
      </c>
      <c r="B52" s="3" t="s">
        <v>131</v>
      </c>
      <c r="C52" s="3" t="s">
        <v>132</v>
      </c>
      <c r="D52" s="3" t="s">
        <v>133</v>
      </c>
      <c r="E52" s="5" t="s">
        <v>130</v>
      </c>
      <c r="F52" s="3"/>
      <c r="G52">
        <v>1</v>
      </c>
      <c r="H52">
        <v>0</v>
      </c>
      <c r="I52">
        <v>1</v>
      </c>
      <c r="L52">
        <f t="shared" si="0"/>
        <v>1</v>
      </c>
    </row>
    <row r="53" spans="1:12" x14ac:dyDescent="0.25">
      <c r="A53" s="3">
        <v>52</v>
      </c>
      <c r="B53" s="3" t="s">
        <v>134</v>
      </c>
      <c r="C53" s="3" t="s">
        <v>135</v>
      </c>
      <c r="D53" s="3" t="s">
        <v>135</v>
      </c>
      <c r="E53" s="5" t="s">
        <v>130</v>
      </c>
      <c r="F53" s="3"/>
      <c r="G53">
        <v>1</v>
      </c>
      <c r="H53">
        <v>0</v>
      </c>
      <c r="I53">
        <v>1</v>
      </c>
      <c r="L53">
        <f t="shared" si="0"/>
        <v>1</v>
      </c>
    </row>
    <row r="54" spans="1:12" ht="30" x14ac:dyDescent="0.25">
      <c r="A54" s="3">
        <v>53</v>
      </c>
      <c r="B54" s="3" t="s">
        <v>136</v>
      </c>
      <c r="C54" s="3" t="s">
        <v>137</v>
      </c>
      <c r="D54" s="3" t="s">
        <v>137</v>
      </c>
      <c r="E54" s="5" t="s">
        <v>130</v>
      </c>
      <c r="F54" s="3" t="s">
        <v>138</v>
      </c>
      <c r="G54">
        <v>0</v>
      </c>
      <c r="H54">
        <v>1</v>
      </c>
      <c r="I54">
        <v>1</v>
      </c>
      <c r="L54">
        <f t="shared" si="0"/>
        <v>0</v>
      </c>
    </row>
    <row r="55" spans="1:12" ht="30" x14ac:dyDescent="0.25">
      <c r="A55" s="3">
        <v>54</v>
      </c>
      <c r="B55" s="3" t="s">
        <v>139</v>
      </c>
      <c r="C55" s="3" t="s">
        <v>140</v>
      </c>
      <c r="D55" s="3" t="s">
        <v>140</v>
      </c>
      <c r="E55" s="5" t="s">
        <v>130</v>
      </c>
      <c r="F55" s="3"/>
      <c r="G55">
        <v>1</v>
      </c>
      <c r="H55">
        <v>1</v>
      </c>
      <c r="I55">
        <v>0</v>
      </c>
      <c r="K55" t="s">
        <v>632</v>
      </c>
      <c r="L55">
        <f t="shared" si="0"/>
        <v>0</v>
      </c>
    </row>
    <row r="56" spans="1:12" x14ac:dyDescent="0.25">
      <c r="A56" s="3">
        <v>55</v>
      </c>
      <c r="B56" s="3" t="s">
        <v>141</v>
      </c>
      <c r="C56" s="3" t="s">
        <v>142</v>
      </c>
      <c r="D56" s="3"/>
      <c r="E56" s="5" t="s">
        <v>130</v>
      </c>
      <c r="F56" s="3"/>
      <c r="G56">
        <v>0</v>
      </c>
      <c r="H56">
        <v>0</v>
      </c>
      <c r="I56">
        <v>1</v>
      </c>
      <c r="L56">
        <f t="shared" si="0"/>
        <v>0</v>
      </c>
    </row>
    <row r="57" spans="1:12" ht="30" x14ac:dyDescent="0.25">
      <c r="A57" s="3">
        <v>56</v>
      </c>
      <c r="B57" s="3" t="s">
        <v>143</v>
      </c>
      <c r="C57" s="3" t="s">
        <v>144</v>
      </c>
      <c r="D57" s="3" t="s">
        <v>145</v>
      </c>
      <c r="E57" s="5" t="s">
        <v>130</v>
      </c>
      <c r="F57" s="3"/>
      <c r="G57">
        <v>1</v>
      </c>
      <c r="H57">
        <v>0</v>
      </c>
      <c r="I57">
        <v>1</v>
      </c>
      <c r="L57">
        <f t="shared" si="0"/>
        <v>1</v>
      </c>
    </row>
    <row r="58" spans="1:12" ht="30" x14ac:dyDescent="0.25">
      <c r="A58" s="3">
        <v>57</v>
      </c>
      <c r="B58" s="3" t="s">
        <v>146</v>
      </c>
      <c r="C58" s="3" t="s">
        <v>140</v>
      </c>
      <c r="D58" s="3" t="s">
        <v>140</v>
      </c>
      <c r="E58" s="5" t="s">
        <v>130</v>
      </c>
      <c r="F58" s="3"/>
      <c r="G58">
        <v>1</v>
      </c>
      <c r="H58">
        <v>1</v>
      </c>
      <c r="I58">
        <v>0</v>
      </c>
      <c r="K58" t="s">
        <v>631</v>
      </c>
      <c r="L58">
        <f t="shared" si="0"/>
        <v>0</v>
      </c>
    </row>
    <row r="59" spans="1:12" ht="30" x14ac:dyDescent="0.25">
      <c r="A59" s="3">
        <v>58</v>
      </c>
      <c r="B59" s="3" t="s">
        <v>147</v>
      </c>
      <c r="C59" s="3"/>
      <c r="D59" s="3" t="s">
        <v>148</v>
      </c>
      <c r="E59" s="5" t="s">
        <v>130</v>
      </c>
      <c r="F59" s="3" t="s">
        <v>149</v>
      </c>
      <c r="G59">
        <v>1</v>
      </c>
      <c r="H59">
        <v>0</v>
      </c>
      <c r="I59">
        <v>1</v>
      </c>
      <c r="L59">
        <f t="shared" si="0"/>
        <v>1</v>
      </c>
    </row>
    <row r="60" spans="1:12" x14ac:dyDescent="0.25">
      <c r="A60" s="3">
        <v>59</v>
      </c>
      <c r="B60" s="3" t="s">
        <v>150</v>
      </c>
      <c r="C60" s="3" t="s">
        <v>151</v>
      </c>
      <c r="D60" s="3" t="s">
        <v>151</v>
      </c>
      <c r="E60" s="5" t="s">
        <v>130</v>
      </c>
      <c r="F60" s="3"/>
      <c r="G60">
        <v>1</v>
      </c>
      <c r="H60">
        <v>0</v>
      </c>
      <c r="I60">
        <v>1</v>
      </c>
      <c r="L60">
        <f t="shared" si="0"/>
        <v>1</v>
      </c>
    </row>
    <row r="61" spans="1:12" ht="30" x14ac:dyDescent="0.25">
      <c r="A61" s="3">
        <v>60</v>
      </c>
      <c r="B61" s="3" t="s">
        <v>152</v>
      </c>
      <c r="C61" s="3" t="s">
        <v>153</v>
      </c>
      <c r="D61" s="3" t="s">
        <v>154</v>
      </c>
      <c r="E61" s="5" t="s">
        <v>130</v>
      </c>
      <c r="F61" s="3" t="s">
        <v>155</v>
      </c>
      <c r="G61">
        <v>0</v>
      </c>
      <c r="H61">
        <v>0</v>
      </c>
      <c r="I61">
        <v>1</v>
      </c>
      <c r="L61">
        <f t="shared" si="0"/>
        <v>0</v>
      </c>
    </row>
    <row r="62" spans="1:12" x14ac:dyDescent="0.25">
      <c r="A62" s="3">
        <v>61</v>
      </c>
      <c r="B62" s="3" t="s">
        <v>156</v>
      </c>
      <c r="C62" s="3"/>
      <c r="D62" s="3"/>
      <c r="E62" s="5" t="s">
        <v>130</v>
      </c>
      <c r="F62" s="3"/>
      <c r="G62">
        <v>0</v>
      </c>
      <c r="H62">
        <v>0</v>
      </c>
      <c r="I62">
        <v>1</v>
      </c>
      <c r="L62">
        <f t="shared" si="0"/>
        <v>0</v>
      </c>
    </row>
    <row r="63" spans="1:12" ht="45" x14ac:dyDescent="0.25">
      <c r="A63" s="3">
        <v>62</v>
      </c>
      <c r="B63" s="3" t="s">
        <v>157</v>
      </c>
      <c r="C63" s="3" t="s">
        <v>158</v>
      </c>
      <c r="D63" s="3" t="s">
        <v>159</v>
      </c>
      <c r="E63" s="5" t="s">
        <v>130</v>
      </c>
      <c r="F63" s="3" t="s">
        <v>160</v>
      </c>
      <c r="G63">
        <v>0</v>
      </c>
      <c r="H63">
        <v>0</v>
      </c>
      <c r="I63">
        <v>1</v>
      </c>
      <c r="L63">
        <f t="shared" si="0"/>
        <v>0</v>
      </c>
    </row>
    <row r="64" spans="1:12" x14ac:dyDescent="0.25">
      <c r="A64" s="3">
        <v>63</v>
      </c>
      <c r="B64" s="3" t="s">
        <v>161</v>
      </c>
      <c r="C64" s="3" t="s">
        <v>137</v>
      </c>
      <c r="D64" s="3" t="s">
        <v>137</v>
      </c>
      <c r="E64" s="5" t="s">
        <v>130</v>
      </c>
      <c r="F64" s="3" t="s">
        <v>162</v>
      </c>
      <c r="G64">
        <v>0</v>
      </c>
      <c r="H64">
        <v>1</v>
      </c>
      <c r="I64">
        <v>1</v>
      </c>
      <c r="L64">
        <f t="shared" si="0"/>
        <v>0</v>
      </c>
    </row>
    <row r="65" spans="1:12" x14ac:dyDescent="0.25">
      <c r="A65" s="3">
        <v>64</v>
      </c>
      <c r="B65" s="3" t="s">
        <v>163</v>
      </c>
      <c r="C65" s="3" t="s">
        <v>164</v>
      </c>
      <c r="D65" s="3" t="s">
        <v>165</v>
      </c>
      <c r="E65" s="5" t="s">
        <v>130</v>
      </c>
      <c r="F65" s="3" t="s">
        <v>166</v>
      </c>
      <c r="G65">
        <v>1</v>
      </c>
      <c r="H65">
        <v>0</v>
      </c>
      <c r="I65">
        <v>1</v>
      </c>
      <c r="L65">
        <f t="shared" si="0"/>
        <v>1</v>
      </c>
    </row>
    <row r="66" spans="1:12" ht="30" x14ac:dyDescent="0.25">
      <c r="A66" s="3">
        <v>65</v>
      </c>
      <c r="B66" s="3" t="s">
        <v>167</v>
      </c>
      <c r="C66" s="3" t="s">
        <v>168</v>
      </c>
      <c r="D66" s="3" t="s">
        <v>168</v>
      </c>
      <c r="E66" s="5" t="s">
        <v>130</v>
      </c>
      <c r="F66" s="3" t="s">
        <v>169</v>
      </c>
      <c r="G66">
        <v>1</v>
      </c>
      <c r="H66">
        <v>0</v>
      </c>
      <c r="I66">
        <v>1</v>
      </c>
      <c r="L66">
        <f t="shared" si="0"/>
        <v>1</v>
      </c>
    </row>
    <row r="67" spans="1:12" ht="30" x14ac:dyDescent="0.25">
      <c r="A67" s="3">
        <v>66</v>
      </c>
      <c r="B67" s="3" t="s">
        <v>170</v>
      </c>
      <c r="C67" s="3" t="s">
        <v>140</v>
      </c>
      <c r="D67" s="3" t="s">
        <v>140</v>
      </c>
      <c r="E67" s="5" t="s">
        <v>130</v>
      </c>
      <c r="F67" s="3"/>
      <c r="G67">
        <v>1</v>
      </c>
      <c r="H67">
        <v>0</v>
      </c>
      <c r="I67">
        <v>1</v>
      </c>
      <c r="L67">
        <f t="shared" ref="L67:L130" si="1">G67*(1-H67)*I67</f>
        <v>1</v>
      </c>
    </row>
    <row r="68" spans="1:12" ht="45" x14ac:dyDescent="0.25">
      <c r="A68" s="3">
        <v>67</v>
      </c>
      <c r="B68" s="3" t="s">
        <v>171</v>
      </c>
      <c r="C68" s="3" t="s">
        <v>172</v>
      </c>
      <c r="D68" s="3" t="s">
        <v>172</v>
      </c>
      <c r="E68" s="5" t="s">
        <v>130</v>
      </c>
      <c r="F68" s="3" t="s">
        <v>173</v>
      </c>
      <c r="G68">
        <v>0</v>
      </c>
      <c r="H68">
        <v>0</v>
      </c>
      <c r="I68">
        <v>1</v>
      </c>
      <c r="L68">
        <f t="shared" si="1"/>
        <v>0</v>
      </c>
    </row>
    <row r="69" spans="1:12" ht="30" x14ac:dyDescent="0.25">
      <c r="A69" s="3">
        <v>68</v>
      </c>
      <c r="B69" s="3" t="s">
        <v>174</v>
      </c>
      <c r="C69" s="3" t="s">
        <v>175</v>
      </c>
      <c r="D69" s="3" t="s">
        <v>176</v>
      </c>
      <c r="E69" s="5" t="s">
        <v>130</v>
      </c>
      <c r="F69" s="3" t="s">
        <v>177</v>
      </c>
      <c r="G69">
        <v>1</v>
      </c>
      <c r="H69">
        <v>0</v>
      </c>
      <c r="I69">
        <v>1</v>
      </c>
      <c r="L69">
        <f t="shared" si="1"/>
        <v>1</v>
      </c>
    </row>
    <row r="70" spans="1:12" ht="30" x14ac:dyDescent="0.25">
      <c r="A70" s="3">
        <v>69</v>
      </c>
      <c r="B70" s="3" t="s">
        <v>178</v>
      </c>
      <c r="C70" s="3"/>
      <c r="D70" s="3" t="s">
        <v>179</v>
      </c>
      <c r="E70" s="5" t="s">
        <v>130</v>
      </c>
      <c r="F70" s="3" t="s">
        <v>180</v>
      </c>
      <c r="G70">
        <v>0</v>
      </c>
      <c r="H70">
        <v>0</v>
      </c>
      <c r="I70">
        <v>1</v>
      </c>
      <c r="L70">
        <f t="shared" si="1"/>
        <v>0</v>
      </c>
    </row>
    <row r="71" spans="1:12" ht="45" x14ac:dyDescent="0.25">
      <c r="A71" s="3">
        <v>70</v>
      </c>
      <c r="B71" s="3" t="s">
        <v>181</v>
      </c>
      <c r="C71" s="3" t="s">
        <v>182</v>
      </c>
      <c r="D71" s="3" t="s">
        <v>168</v>
      </c>
      <c r="E71" s="5" t="s">
        <v>130</v>
      </c>
      <c r="F71" s="3" t="s">
        <v>183</v>
      </c>
      <c r="G71">
        <v>1</v>
      </c>
      <c r="H71">
        <v>0</v>
      </c>
      <c r="I71">
        <v>1</v>
      </c>
      <c r="L71">
        <f t="shared" si="1"/>
        <v>1</v>
      </c>
    </row>
    <row r="72" spans="1:12" ht="30" x14ac:dyDescent="0.25">
      <c r="A72" s="3">
        <v>71</v>
      </c>
      <c r="B72" s="3" t="s">
        <v>184</v>
      </c>
      <c r="C72" s="3"/>
      <c r="D72" s="3" t="s">
        <v>185</v>
      </c>
      <c r="E72" s="5" t="s">
        <v>130</v>
      </c>
      <c r="F72" s="3"/>
      <c r="G72">
        <v>1</v>
      </c>
      <c r="H72">
        <v>0</v>
      </c>
      <c r="I72">
        <v>1</v>
      </c>
      <c r="L72">
        <f t="shared" si="1"/>
        <v>1</v>
      </c>
    </row>
    <row r="73" spans="1:12" ht="30" x14ac:dyDescent="0.25">
      <c r="A73" s="3">
        <v>72</v>
      </c>
      <c r="B73" s="3" t="s">
        <v>186</v>
      </c>
      <c r="C73" s="3" t="s">
        <v>187</v>
      </c>
      <c r="D73" s="3" t="s">
        <v>168</v>
      </c>
      <c r="E73" s="5" t="s">
        <v>130</v>
      </c>
      <c r="F73" s="3" t="s">
        <v>188</v>
      </c>
      <c r="G73">
        <v>1</v>
      </c>
      <c r="H73">
        <v>0</v>
      </c>
      <c r="I73">
        <v>1</v>
      </c>
      <c r="L73">
        <f t="shared" si="1"/>
        <v>1</v>
      </c>
    </row>
    <row r="74" spans="1:12" ht="30" x14ac:dyDescent="0.25">
      <c r="A74" s="3">
        <v>73</v>
      </c>
      <c r="B74" s="3" t="s">
        <v>189</v>
      </c>
      <c r="C74" s="3" t="s">
        <v>140</v>
      </c>
      <c r="D74" s="3" t="s">
        <v>140</v>
      </c>
      <c r="E74" s="5" t="s">
        <v>130</v>
      </c>
      <c r="F74" s="3"/>
      <c r="G74">
        <v>0</v>
      </c>
      <c r="H74">
        <v>0</v>
      </c>
      <c r="I74">
        <v>1</v>
      </c>
      <c r="L74">
        <f t="shared" si="1"/>
        <v>0</v>
      </c>
    </row>
    <row r="75" spans="1:12" ht="30" x14ac:dyDescent="0.25">
      <c r="A75" s="3">
        <v>74</v>
      </c>
      <c r="B75" s="3" t="s">
        <v>190</v>
      </c>
      <c r="C75" s="3" t="s">
        <v>191</v>
      </c>
      <c r="D75" s="3" t="s">
        <v>191</v>
      </c>
      <c r="E75" s="5" t="s">
        <v>130</v>
      </c>
      <c r="F75" s="3" t="s">
        <v>192</v>
      </c>
      <c r="G75">
        <v>1</v>
      </c>
      <c r="H75">
        <v>1</v>
      </c>
      <c r="I75">
        <v>1</v>
      </c>
      <c r="L75">
        <f t="shared" si="1"/>
        <v>0</v>
      </c>
    </row>
    <row r="76" spans="1:12" x14ac:dyDescent="0.25">
      <c r="A76" s="3">
        <v>75</v>
      </c>
      <c r="B76" s="3" t="s">
        <v>193</v>
      </c>
      <c r="C76" s="3" t="s">
        <v>194</v>
      </c>
      <c r="D76" s="3" t="s">
        <v>194</v>
      </c>
      <c r="E76" s="5" t="s">
        <v>130</v>
      </c>
      <c r="F76" s="3"/>
      <c r="G76">
        <v>0</v>
      </c>
      <c r="H76">
        <v>1</v>
      </c>
      <c r="I76">
        <v>1</v>
      </c>
      <c r="L76">
        <f t="shared" si="1"/>
        <v>0</v>
      </c>
    </row>
    <row r="77" spans="1:12" ht="240" x14ac:dyDescent="0.25">
      <c r="A77" s="3">
        <v>76</v>
      </c>
      <c r="B77" s="3" t="s">
        <v>195</v>
      </c>
      <c r="C77" s="3" t="s">
        <v>196</v>
      </c>
      <c r="D77" s="3" t="s">
        <v>197</v>
      </c>
      <c r="E77" s="5" t="s">
        <v>130</v>
      </c>
      <c r="F77" s="3" t="s">
        <v>198</v>
      </c>
      <c r="G77">
        <v>0</v>
      </c>
      <c r="H77">
        <v>0</v>
      </c>
      <c r="I77">
        <v>1</v>
      </c>
      <c r="L77">
        <f t="shared" si="1"/>
        <v>0</v>
      </c>
    </row>
    <row r="78" spans="1:12" x14ac:dyDescent="0.25">
      <c r="A78" s="3">
        <v>77</v>
      </c>
      <c r="B78" s="3" t="s">
        <v>199</v>
      </c>
      <c r="C78" s="3" t="s">
        <v>200</v>
      </c>
      <c r="D78" s="3" t="s">
        <v>201</v>
      </c>
      <c r="E78" s="5" t="s">
        <v>130</v>
      </c>
      <c r="F78" s="3" t="s">
        <v>199</v>
      </c>
      <c r="G78">
        <v>1</v>
      </c>
      <c r="H78">
        <v>0</v>
      </c>
      <c r="I78">
        <v>1</v>
      </c>
      <c r="L78">
        <f t="shared" si="1"/>
        <v>1</v>
      </c>
    </row>
    <row r="79" spans="1:12" ht="30" x14ac:dyDescent="0.25">
      <c r="A79" s="3">
        <v>78</v>
      </c>
      <c r="B79" s="3" t="s">
        <v>202</v>
      </c>
      <c r="C79" s="3" t="s">
        <v>203</v>
      </c>
      <c r="D79" s="3" t="s">
        <v>203</v>
      </c>
      <c r="E79" s="5" t="s">
        <v>130</v>
      </c>
      <c r="F79" s="3" t="s">
        <v>204</v>
      </c>
      <c r="G79">
        <v>0</v>
      </c>
      <c r="H79">
        <v>0</v>
      </c>
      <c r="I79">
        <v>1</v>
      </c>
      <c r="L79">
        <f t="shared" si="1"/>
        <v>0</v>
      </c>
    </row>
    <row r="80" spans="1:12" ht="45" x14ac:dyDescent="0.25">
      <c r="A80" s="3">
        <v>79</v>
      </c>
      <c r="B80" s="3" t="s">
        <v>205</v>
      </c>
      <c r="C80" s="3" t="s">
        <v>206</v>
      </c>
      <c r="D80" s="3" t="s">
        <v>207</v>
      </c>
      <c r="E80" s="5" t="s">
        <v>130</v>
      </c>
      <c r="F80" s="3" t="s">
        <v>208</v>
      </c>
      <c r="G80">
        <v>0</v>
      </c>
      <c r="H80">
        <v>0</v>
      </c>
      <c r="I80">
        <v>1</v>
      </c>
      <c r="L80">
        <f t="shared" si="1"/>
        <v>0</v>
      </c>
    </row>
    <row r="81" spans="1:12" x14ac:dyDescent="0.25">
      <c r="A81" s="3">
        <v>80</v>
      </c>
      <c r="B81" s="3" t="s">
        <v>209</v>
      </c>
      <c r="C81" s="3" t="s">
        <v>210</v>
      </c>
      <c r="D81" s="3" t="s">
        <v>210</v>
      </c>
      <c r="E81" s="5" t="s">
        <v>130</v>
      </c>
      <c r="F81" s="3" t="s">
        <v>211</v>
      </c>
      <c r="G81">
        <v>0</v>
      </c>
      <c r="H81">
        <v>1</v>
      </c>
      <c r="I81">
        <v>1</v>
      </c>
      <c r="L81">
        <f t="shared" si="1"/>
        <v>0</v>
      </c>
    </row>
    <row r="82" spans="1:12" x14ac:dyDescent="0.25">
      <c r="A82" s="3">
        <v>81</v>
      </c>
      <c r="B82" s="3" t="s">
        <v>212</v>
      </c>
      <c r="C82" s="3" t="s">
        <v>213</v>
      </c>
      <c r="D82" s="3"/>
      <c r="E82" s="5" t="s">
        <v>130</v>
      </c>
      <c r="F82" s="3"/>
      <c r="G82">
        <v>1</v>
      </c>
      <c r="H82">
        <v>0</v>
      </c>
      <c r="I82">
        <v>1</v>
      </c>
      <c r="L82">
        <f t="shared" si="1"/>
        <v>1</v>
      </c>
    </row>
    <row r="83" spans="1:12" x14ac:dyDescent="0.25">
      <c r="A83" s="3">
        <v>82</v>
      </c>
      <c r="B83" s="3" t="s">
        <v>214</v>
      </c>
      <c r="C83" s="3" t="s">
        <v>151</v>
      </c>
      <c r="D83" s="3" t="s">
        <v>151</v>
      </c>
      <c r="E83" s="5" t="s">
        <v>130</v>
      </c>
      <c r="F83" s="3"/>
      <c r="G83">
        <v>1</v>
      </c>
      <c r="H83">
        <v>0</v>
      </c>
      <c r="I83">
        <v>1</v>
      </c>
      <c r="L83">
        <f t="shared" si="1"/>
        <v>1</v>
      </c>
    </row>
    <row r="84" spans="1:12" ht="30" x14ac:dyDescent="0.25">
      <c r="A84" s="3">
        <v>83</v>
      </c>
      <c r="B84" s="3" t="s">
        <v>215</v>
      </c>
      <c r="C84" s="3" t="s">
        <v>112</v>
      </c>
      <c r="D84" s="3" t="s">
        <v>112</v>
      </c>
      <c r="E84" s="5" t="s">
        <v>130</v>
      </c>
      <c r="F84" s="3" t="s">
        <v>216</v>
      </c>
      <c r="G84">
        <v>0</v>
      </c>
      <c r="H84">
        <v>0</v>
      </c>
      <c r="I84">
        <v>1</v>
      </c>
      <c r="L84">
        <f t="shared" si="1"/>
        <v>0</v>
      </c>
    </row>
    <row r="85" spans="1:12" ht="45" x14ac:dyDescent="0.25">
      <c r="A85" s="3">
        <v>84</v>
      </c>
      <c r="B85" s="3" t="s">
        <v>217</v>
      </c>
      <c r="C85" s="3" t="s">
        <v>218</v>
      </c>
      <c r="D85" s="3" t="s">
        <v>219</v>
      </c>
      <c r="E85" s="5" t="s">
        <v>130</v>
      </c>
      <c r="F85" s="3" t="s">
        <v>220</v>
      </c>
      <c r="G85">
        <v>0</v>
      </c>
      <c r="H85">
        <v>0</v>
      </c>
      <c r="I85">
        <v>1</v>
      </c>
      <c r="L85">
        <f t="shared" si="1"/>
        <v>0</v>
      </c>
    </row>
    <row r="86" spans="1:12" x14ac:dyDescent="0.25">
      <c r="A86" s="3">
        <v>85</v>
      </c>
      <c r="B86" s="3" t="s">
        <v>221</v>
      </c>
      <c r="C86" s="3" t="s">
        <v>151</v>
      </c>
      <c r="D86" s="3" t="s">
        <v>151</v>
      </c>
      <c r="E86" s="5" t="s">
        <v>130</v>
      </c>
      <c r="F86" s="3"/>
      <c r="G86">
        <v>1</v>
      </c>
      <c r="H86">
        <v>0</v>
      </c>
      <c r="I86">
        <v>1</v>
      </c>
      <c r="L86">
        <f t="shared" si="1"/>
        <v>1</v>
      </c>
    </row>
    <row r="87" spans="1:12" x14ac:dyDescent="0.25">
      <c r="A87" s="3">
        <v>86</v>
      </c>
      <c r="B87" s="3" t="s">
        <v>222</v>
      </c>
      <c r="C87" s="3"/>
      <c r="D87" s="3"/>
      <c r="E87" s="5" t="s">
        <v>130</v>
      </c>
      <c r="F87" s="3"/>
      <c r="G87">
        <v>0</v>
      </c>
      <c r="H87">
        <v>0</v>
      </c>
      <c r="I87">
        <v>1</v>
      </c>
      <c r="L87">
        <f t="shared" si="1"/>
        <v>0</v>
      </c>
    </row>
    <row r="88" spans="1:12" ht="30" x14ac:dyDescent="0.25">
      <c r="A88" s="3">
        <v>87</v>
      </c>
      <c r="B88" s="3" t="s">
        <v>223</v>
      </c>
      <c r="C88" s="3" t="s">
        <v>121</v>
      </c>
      <c r="D88" s="3" t="s">
        <v>121</v>
      </c>
      <c r="E88" s="5" t="s">
        <v>130</v>
      </c>
      <c r="F88" s="3" t="s">
        <v>224</v>
      </c>
      <c r="G88">
        <v>1</v>
      </c>
      <c r="H88">
        <v>0</v>
      </c>
      <c r="I88">
        <v>1</v>
      </c>
      <c r="L88">
        <f t="shared" si="1"/>
        <v>1</v>
      </c>
    </row>
    <row r="89" spans="1:12" x14ac:dyDescent="0.25">
      <c r="A89" s="3">
        <v>88</v>
      </c>
      <c r="B89" s="3" t="s">
        <v>225</v>
      </c>
      <c r="C89" s="3" t="s">
        <v>226</v>
      </c>
      <c r="D89" s="3"/>
      <c r="E89" s="5" t="s">
        <v>130</v>
      </c>
      <c r="F89" s="3"/>
      <c r="G89">
        <v>1</v>
      </c>
      <c r="H89">
        <v>0</v>
      </c>
      <c r="I89">
        <v>1</v>
      </c>
      <c r="L89">
        <f t="shared" si="1"/>
        <v>1</v>
      </c>
    </row>
    <row r="90" spans="1:12" ht="30" x14ac:dyDescent="0.25">
      <c r="A90" s="3">
        <v>89</v>
      </c>
      <c r="B90" s="3" t="s">
        <v>227</v>
      </c>
      <c r="C90" s="3"/>
      <c r="D90" s="3" t="s">
        <v>228</v>
      </c>
      <c r="E90" s="5" t="s">
        <v>130</v>
      </c>
      <c r="F90" s="3" t="s">
        <v>229</v>
      </c>
      <c r="G90">
        <v>0</v>
      </c>
      <c r="H90">
        <v>0</v>
      </c>
      <c r="I90">
        <v>1</v>
      </c>
      <c r="L90">
        <f t="shared" si="1"/>
        <v>0</v>
      </c>
    </row>
    <row r="91" spans="1:12" ht="30" x14ac:dyDescent="0.25">
      <c r="A91" s="3">
        <v>90</v>
      </c>
      <c r="B91" s="3" t="s">
        <v>230</v>
      </c>
      <c r="C91" s="3" t="s">
        <v>231</v>
      </c>
      <c r="D91" s="3" t="s">
        <v>231</v>
      </c>
      <c r="E91" s="5" t="s">
        <v>130</v>
      </c>
      <c r="F91" s="3" t="s">
        <v>232</v>
      </c>
      <c r="G91">
        <v>0</v>
      </c>
      <c r="H91">
        <v>0</v>
      </c>
      <c r="I91">
        <v>1</v>
      </c>
      <c r="L91">
        <f t="shared" si="1"/>
        <v>0</v>
      </c>
    </row>
    <row r="92" spans="1:12" x14ac:dyDescent="0.25">
      <c r="A92" s="3">
        <v>91</v>
      </c>
      <c r="B92" s="3" t="s">
        <v>233</v>
      </c>
      <c r="C92" s="3"/>
      <c r="D92" s="3" t="s">
        <v>234</v>
      </c>
      <c r="E92" s="5" t="s">
        <v>130</v>
      </c>
      <c r="F92" s="3"/>
      <c r="G92">
        <v>1</v>
      </c>
      <c r="H92">
        <v>0</v>
      </c>
      <c r="I92">
        <v>1</v>
      </c>
      <c r="L92">
        <f t="shared" si="1"/>
        <v>1</v>
      </c>
    </row>
    <row r="93" spans="1:12" x14ac:dyDescent="0.25">
      <c r="A93" s="3">
        <v>92</v>
      </c>
      <c r="B93" s="3" t="s">
        <v>235</v>
      </c>
      <c r="C93" s="3"/>
      <c r="D93" s="3"/>
      <c r="E93" s="5" t="s">
        <v>130</v>
      </c>
      <c r="F93" s="3"/>
      <c r="G93">
        <v>0</v>
      </c>
      <c r="H93">
        <v>0</v>
      </c>
      <c r="I93">
        <v>1</v>
      </c>
      <c r="L93">
        <f t="shared" si="1"/>
        <v>0</v>
      </c>
    </row>
    <row r="94" spans="1:12" ht="45" x14ac:dyDescent="0.25">
      <c r="A94" s="3">
        <v>93</v>
      </c>
      <c r="B94" s="3" t="s">
        <v>236</v>
      </c>
      <c r="C94" s="3" t="s">
        <v>237</v>
      </c>
      <c r="D94" s="3" t="s">
        <v>238</v>
      </c>
      <c r="E94" s="5" t="s">
        <v>130</v>
      </c>
      <c r="F94" s="3" t="s">
        <v>239</v>
      </c>
      <c r="G94">
        <v>1</v>
      </c>
      <c r="H94">
        <v>0</v>
      </c>
      <c r="I94">
        <v>1</v>
      </c>
      <c r="L94">
        <f t="shared" si="1"/>
        <v>1</v>
      </c>
    </row>
    <row r="95" spans="1:12" x14ac:dyDescent="0.25">
      <c r="A95" s="3">
        <v>94</v>
      </c>
      <c r="B95" s="3" t="s">
        <v>240</v>
      </c>
      <c r="C95" s="3" t="s">
        <v>241</v>
      </c>
      <c r="D95" s="3"/>
      <c r="E95" s="5" t="s">
        <v>130</v>
      </c>
      <c r="F95" s="3" t="s">
        <v>242</v>
      </c>
      <c r="G95">
        <v>0</v>
      </c>
      <c r="H95">
        <v>0</v>
      </c>
      <c r="I95">
        <v>1</v>
      </c>
      <c r="L95">
        <f t="shared" si="1"/>
        <v>0</v>
      </c>
    </row>
    <row r="96" spans="1:12" ht="30" x14ac:dyDescent="0.25">
      <c r="A96" s="3">
        <v>95</v>
      </c>
      <c r="B96" s="3" t="s">
        <v>243</v>
      </c>
      <c r="C96" s="3" t="s">
        <v>244</v>
      </c>
      <c r="D96" s="3" t="s">
        <v>244</v>
      </c>
      <c r="E96" s="5" t="s">
        <v>130</v>
      </c>
      <c r="F96" s="3" t="s">
        <v>245</v>
      </c>
      <c r="G96">
        <v>0</v>
      </c>
      <c r="H96">
        <v>0</v>
      </c>
      <c r="I96">
        <v>1</v>
      </c>
      <c r="L96">
        <f t="shared" si="1"/>
        <v>0</v>
      </c>
    </row>
    <row r="97" spans="1:12" ht="60" x14ac:dyDescent="0.25">
      <c r="A97" s="3">
        <v>96</v>
      </c>
      <c r="B97" s="3" t="s">
        <v>246</v>
      </c>
      <c r="C97" s="3" t="s">
        <v>247</v>
      </c>
      <c r="D97" s="3" t="s">
        <v>248</v>
      </c>
      <c r="E97" s="5" t="s">
        <v>130</v>
      </c>
      <c r="F97" s="3" t="s">
        <v>249</v>
      </c>
      <c r="G97">
        <v>0</v>
      </c>
      <c r="H97">
        <v>0</v>
      </c>
      <c r="I97">
        <v>1</v>
      </c>
      <c r="L97">
        <f t="shared" si="1"/>
        <v>0</v>
      </c>
    </row>
    <row r="98" spans="1:12" ht="30" x14ac:dyDescent="0.25">
      <c r="A98" s="3">
        <v>97</v>
      </c>
      <c r="B98" s="3" t="s">
        <v>250</v>
      </c>
      <c r="C98" s="3" t="s">
        <v>108</v>
      </c>
      <c r="D98" s="3" t="s">
        <v>108</v>
      </c>
      <c r="E98" s="5" t="s">
        <v>130</v>
      </c>
      <c r="F98" s="3" t="s">
        <v>251</v>
      </c>
      <c r="G98">
        <v>1</v>
      </c>
      <c r="H98">
        <v>0</v>
      </c>
      <c r="I98">
        <v>1</v>
      </c>
      <c r="L98">
        <f t="shared" si="1"/>
        <v>1</v>
      </c>
    </row>
    <row r="99" spans="1:12" x14ac:dyDescent="0.25">
      <c r="A99" s="3">
        <v>98</v>
      </c>
      <c r="B99" s="3" t="s">
        <v>252</v>
      </c>
      <c r="C99" s="3" t="s">
        <v>108</v>
      </c>
      <c r="D99" s="3"/>
      <c r="E99" s="5" t="s">
        <v>130</v>
      </c>
      <c r="F99" s="3" t="s">
        <v>253</v>
      </c>
      <c r="G99">
        <v>0</v>
      </c>
      <c r="H99">
        <v>0</v>
      </c>
      <c r="I99">
        <v>1</v>
      </c>
      <c r="L99">
        <f t="shared" si="1"/>
        <v>0</v>
      </c>
    </row>
    <row r="100" spans="1:12" x14ac:dyDescent="0.25">
      <c r="A100" s="3">
        <v>99</v>
      </c>
      <c r="B100" s="3" t="s">
        <v>254</v>
      </c>
      <c r="C100" s="3" t="s">
        <v>110</v>
      </c>
      <c r="D100" s="3" t="s">
        <v>110</v>
      </c>
      <c r="E100" s="5" t="s">
        <v>130</v>
      </c>
      <c r="F100" s="3" t="s">
        <v>255</v>
      </c>
      <c r="G100">
        <v>0</v>
      </c>
      <c r="H100">
        <v>0</v>
      </c>
      <c r="I100">
        <v>1</v>
      </c>
      <c r="L100">
        <f t="shared" si="1"/>
        <v>0</v>
      </c>
    </row>
    <row r="101" spans="1:12" x14ac:dyDescent="0.25">
      <c r="A101" s="3">
        <v>100</v>
      </c>
      <c r="B101" s="3" t="s">
        <v>256</v>
      </c>
      <c r="C101" s="3" t="s">
        <v>257</v>
      </c>
      <c r="D101" s="3"/>
      <c r="E101" s="5" t="s">
        <v>130</v>
      </c>
      <c r="F101" s="3"/>
      <c r="G101">
        <v>0</v>
      </c>
      <c r="H101">
        <v>0</v>
      </c>
      <c r="I101">
        <v>1</v>
      </c>
      <c r="L101">
        <f t="shared" si="1"/>
        <v>0</v>
      </c>
    </row>
    <row r="102" spans="1:12" x14ac:dyDescent="0.25">
      <c r="A102" s="3">
        <v>101</v>
      </c>
      <c r="B102" s="3" t="s">
        <v>258</v>
      </c>
      <c r="C102" s="3"/>
      <c r="D102" s="3" t="s">
        <v>259</v>
      </c>
      <c r="E102" s="5" t="s">
        <v>130</v>
      </c>
      <c r="F102" s="3" t="s">
        <v>260</v>
      </c>
      <c r="G102">
        <v>0</v>
      </c>
      <c r="H102">
        <v>0</v>
      </c>
      <c r="I102">
        <v>1</v>
      </c>
      <c r="L102">
        <f t="shared" si="1"/>
        <v>0</v>
      </c>
    </row>
    <row r="103" spans="1:12" x14ac:dyDescent="0.25">
      <c r="A103" s="3">
        <v>102</v>
      </c>
      <c r="B103" s="3" t="s">
        <v>261</v>
      </c>
      <c r="C103" s="3" t="s">
        <v>128</v>
      </c>
      <c r="D103" s="3" t="s">
        <v>262</v>
      </c>
      <c r="E103" s="5" t="s">
        <v>130</v>
      </c>
      <c r="F103" s="3"/>
      <c r="G103">
        <v>0</v>
      </c>
      <c r="H103">
        <v>1</v>
      </c>
      <c r="I103">
        <v>1</v>
      </c>
      <c r="L103">
        <f t="shared" si="1"/>
        <v>0</v>
      </c>
    </row>
    <row r="104" spans="1:12" ht="45" x14ac:dyDescent="0.25">
      <c r="A104" s="3">
        <v>103</v>
      </c>
      <c r="B104" s="3" t="s">
        <v>263</v>
      </c>
      <c r="C104" s="3" t="s">
        <v>264</v>
      </c>
      <c r="D104" s="3" t="s">
        <v>265</v>
      </c>
      <c r="E104" s="5" t="s">
        <v>130</v>
      </c>
      <c r="F104" s="3" t="s">
        <v>266</v>
      </c>
      <c r="G104">
        <v>1</v>
      </c>
      <c r="H104">
        <v>0</v>
      </c>
      <c r="I104">
        <v>1</v>
      </c>
      <c r="L104">
        <f t="shared" si="1"/>
        <v>1</v>
      </c>
    </row>
    <row r="105" spans="1:12" ht="45" x14ac:dyDescent="0.25">
      <c r="A105" s="3">
        <v>104</v>
      </c>
      <c r="B105" s="3" t="s">
        <v>267</v>
      </c>
      <c r="C105" s="3" t="s">
        <v>264</v>
      </c>
      <c r="D105" s="3" t="s">
        <v>265</v>
      </c>
      <c r="E105" s="5" t="s">
        <v>130</v>
      </c>
      <c r="F105" s="3" t="s">
        <v>266</v>
      </c>
      <c r="G105">
        <v>1</v>
      </c>
      <c r="H105">
        <v>0</v>
      </c>
      <c r="I105">
        <v>1</v>
      </c>
      <c r="L105">
        <f t="shared" si="1"/>
        <v>1</v>
      </c>
    </row>
    <row r="106" spans="1:12" ht="30" x14ac:dyDescent="0.25">
      <c r="A106" s="3">
        <v>105</v>
      </c>
      <c r="B106" s="3" t="s">
        <v>268</v>
      </c>
      <c r="C106" s="3" t="s">
        <v>269</v>
      </c>
      <c r="D106" s="3" t="s">
        <v>270</v>
      </c>
      <c r="E106" s="5" t="s">
        <v>130</v>
      </c>
      <c r="F106" s="3" t="s">
        <v>271</v>
      </c>
      <c r="G106">
        <v>0</v>
      </c>
      <c r="H106">
        <v>0</v>
      </c>
      <c r="I106">
        <v>1</v>
      </c>
      <c r="L106">
        <f t="shared" si="1"/>
        <v>0</v>
      </c>
    </row>
    <row r="107" spans="1:12" ht="30" x14ac:dyDescent="0.25">
      <c r="A107" s="3">
        <v>106</v>
      </c>
      <c r="B107" s="3" t="s">
        <v>272</v>
      </c>
      <c r="C107" s="3" t="s">
        <v>273</v>
      </c>
      <c r="D107" s="3" t="s">
        <v>273</v>
      </c>
      <c r="E107" s="5" t="s">
        <v>130</v>
      </c>
      <c r="F107" s="3" t="s">
        <v>272</v>
      </c>
      <c r="G107">
        <v>1</v>
      </c>
      <c r="H107">
        <v>0</v>
      </c>
      <c r="I107">
        <v>1</v>
      </c>
      <c r="L107">
        <f t="shared" si="1"/>
        <v>1</v>
      </c>
    </row>
    <row r="108" spans="1:12" ht="30" x14ac:dyDescent="0.25">
      <c r="A108" s="3">
        <v>107</v>
      </c>
      <c r="B108" s="3" t="s">
        <v>274</v>
      </c>
      <c r="C108" s="3" t="s">
        <v>275</v>
      </c>
      <c r="D108" s="3" t="s">
        <v>276</v>
      </c>
      <c r="E108" s="5" t="s">
        <v>130</v>
      </c>
      <c r="F108" s="3" t="s">
        <v>277</v>
      </c>
      <c r="G108">
        <v>1</v>
      </c>
      <c r="H108">
        <v>0</v>
      </c>
      <c r="I108">
        <v>1</v>
      </c>
      <c r="L108">
        <f t="shared" si="1"/>
        <v>1</v>
      </c>
    </row>
    <row r="109" spans="1:12" x14ac:dyDescent="0.25">
      <c r="A109" s="3">
        <v>108</v>
      </c>
      <c r="B109" s="3" t="s">
        <v>278</v>
      </c>
      <c r="C109" s="3" t="s">
        <v>108</v>
      </c>
      <c r="D109" s="3" t="s">
        <v>108</v>
      </c>
      <c r="E109" s="5" t="s">
        <v>130</v>
      </c>
      <c r="F109" s="3" t="s">
        <v>279</v>
      </c>
      <c r="G109">
        <v>1</v>
      </c>
      <c r="H109">
        <v>0</v>
      </c>
      <c r="I109">
        <v>1</v>
      </c>
      <c r="L109">
        <f t="shared" si="1"/>
        <v>1</v>
      </c>
    </row>
    <row r="110" spans="1:12" ht="60" x14ac:dyDescent="0.25">
      <c r="A110" s="3">
        <v>109</v>
      </c>
      <c r="B110" s="3" t="s">
        <v>280</v>
      </c>
      <c r="C110" s="3" t="s">
        <v>281</v>
      </c>
      <c r="D110" s="3"/>
      <c r="E110" s="5" t="s">
        <v>130</v>
      </c>
      <c r="F110" s="3" t="s">
        <v>282</v>
      </c>
      <c r="G110">
        <v>0</v>
      </c>
      <c r="H110">
        <v>0</v>
      </c>
      <c r="I110">
        <v>1</v>
      </c>
      <c r="L110">
        <f t="shared" si="1"/>
        <v>0</v>
      </c>
    </row>
    <row r="111" spans="1:12" ht="30" x14ac:dyDescent="0.25">
      <c r="A111" s="3">
        <v>110</v>
      </c>
      <c r="B111" s="3" t="s">
        <v>283</v>
      </c>
      <c r="C111" s="3" t="s">
        <v>284</v>
      </c>
      <c r="D111" s="3" t="s">
        <v>285</v>
      </c>
      <c r="E111" s="5" t="s">
        <v>130</v>
      </c>
      <c r="F111" s="3" t="s">
        <v>286</v>
      </c>
      <c r="G111">
        <v>0</v>
      </c>
      <c r="H111">
        <v>0</v>
      </c>
      <c r="I111">
        <v>1</v>
      </c>
      <c r="K111" t="s">
        <v>630</v>
      </c>
      <c r="L111">
        <f t="shared" si="1"/>
        <v>0</v>
      </c>
    </row>
    <row r="112" spans="1:12" ht="30" x14ac:dyDescent="0.25">
      <c r="A112" s="3">
        <v>111</v>
      </c>
      <c r="B112" s="3" t="s">
        <v>287</v>
      </c>
      <c r="C112" s="3" t="s">
        <v>197</v>
      </c>
      <c r="D112" s="3" t="s">
        <v>197</v>
      </c>
      <c r="E112" s="5" t="s">
        <v>130</v>
      </c>
      <c r="F112" s="3" t="s">
        <v>288</v>
      </c>
      <c r="G112">
        <v>0</v>
      </c>
      <c r="H112">
        <v>0</v>
      </c>
      <c r="I112">
        <v>1</v>
      </c>
      <c r="L112">
        <f t="shared" si="1"/>
        <v>0</v>
      </c>
    </row>
    <row r="113" spans="1:12" x14ac:dyDescent="0.25">
      <c r="A113" s="3">
        <v>112</v>
      </c>
      <c r="B113" s="3" t="s">
        <v>289</v>
      </c>
      <c r="C113" s="3" t="s">
        <v>290</v>
      </c>
      <c r="D113" s="3"/>
      <c r="E113" s="5" t="s">
        <v>130</v>
      </c>
      <c r="F113" s="3" t="s">
        <v>291</v>
      </c>
      <c r="G113">
        <v>1</v>
      </c>
      <c r="H113">
        <v>0</v>
      </c>
      <c r="I113">
        <v>1</v>
      </c>
      <c r="L113">
        <f t="shared" si="1"/>
        <v>1</v>
      </c>
    </row>
    <row r="114" spans="1:12" x14ac:dyDescent="0.25">
      <c r="A114" s="3">
        <v>113</v>
      </c>
      <c r="B114" s="3" t="s">
        <v>292</v>
      </c>
      <c r="C114" s="3" t="s">
        <v>293</v>
      </c>
      <c r="D114" s="3" t="s">
        <v>293</v>
      </c>
      <c r="E114" s="5" t="s">
        <v>130</v>
      </c>
      <c r="F114" s="3"/>
      <c r="G114">
        <v>1</v>
      </c>
      <c r="H114">
        <v>0</v>
      </c>
      <c r="I114">
        <v>1</v>
      </c>
      <c r="L114">
        <f t="shared" si="1"/>
        <v>1</v>
      </c>
    </row>
    <row r="115" spans="1:12" x14ac:dyDescent="0.25">
      <c r="A115" s="3">
        <v>114</v>
      </c>
      <c r="B115" s="3" t="s">
        <v>294</v>
      </c>
      <c r="C115" s="3" t="s">
        <v>295</v>
      </c>
      <c r="D115" s="3" t="s">
        <v>293</v>
      </c>
      <c r="E115" s="5" t="s">
        <v>130</v>
      </c>
      <c r="F115" s="3" t="s">
        <v>296</v>
      </c>
      <c r="G115">
        <v>1</v>
      </c>
      <c r="H115">
        <v>0</v>
      </c>
      <c r="I115">
        <v>1</v>
      </c>
      <c r="L115">
        <f t="shared" si="1"/>
        <v>1</v>
      </c>
    </row>
    <row r="116" spans="1:12" ht="45" x14ac:dyDescent="0.25">
      <c r="A116" s="3">
        <v>115</v>
      </c>
      <c r="B116" s="3" t="s">
        <v>297</v>
      </c>
      <c r="C116" s="3" t="s">
        <v>298</v>
      </c>
      <c r="D116" s="3" t="s">
        <v>298</v>
      </c>
      <c r="E116" s="5" t="s">
        <v>130</v>
      </c>
      <c r="F116" s="3"/>
      <c r="G116">
        <v>1</v>
      </c>
      <c r="H116">
        <v>1</v>
      </c>
      <c r="I116">
        <v>1</v>
      </c>
      <c r="L116">
        <f t="shared" si="1"/>
        <v>0</v>
      </c>
    </row>
    <row r="117" spans="1:12" ht="30" x14ac:dyDescent="0.25">
      <c r="A117" s="3">
        <v>116</v>
      </c>
      <c r="B117" s="3" t="s">
        <v>299</v>
      </c>
      <c r="C117" s="3" t="s">
        <v>300</v>
      </c>
      <c r="D117" s="3" t="s">
        <v>301</v>
      </c>
      <c r="E117" s="5" t="s">
        <v>130</v>
      </c>
      <c r="F117" s="3" t="s">
        <v>302</v>
      </c>
      <c r="G117">
        <v>1</v>
      </c>
      <c r="H117">
        <v>0</v>
      </c>
      <c r="I117">
        <v>1</v>
      </c>
      <c r="L117">
        <f t="shared" si="1"/>
        <v>1</v>
      </c>
    </row>
    <row r="118" spans="1:12" x14ac:dyDescent="0.25">
      <c r="A118" s="3">
        <v>117</v>
      </c>
      <c r="B118" s="3" t="s">
        <v>303</v>
      </c>
      <c r="C118" s="3" t="s">
        <v>304</v>
      </c>
      <c r="D118" s="3" t="s">
        <v>305</v>
      </c>
      <c r="E118" s="5" t="s">
        <v>130</v>
      </c>
      <c r="F118" s="3" t="s">
        <v>306</v>
      </c>
      <c r="G118">
        <v>0</v>
      </c>
      <c r="H118">
        <v>0</v>
      </c>
      <c r="I118">
        <v>1</v>
      </c>
      <c r="L118">
        <f t="shared" si="1"/>
        <v>0</v>
      </c>
    </row>
    <row r="119" spans="1:12" ht="45" x14ac:dyDescent="0.25">
      <c r="A119" s="3">
        <v>118</v>
      </c>
      <c r="B119" s="3" t="s">
        <v>307</v>
      </c>
      <c r="C119" s="3" t="s">
        <v>308</v>
      </c>
      <c r="D119" s="3" t="s">
        <v>309</v>
      </c>
      <c r="E119" s="5" t="s">
        <v>130</v>
      </c>
      <c r="F119" s="3" t="s">
        <v>310</v>
      </c>
      <c r="G119">
        <v>1</v>
      </c>
      <c r="H119">
        <v>0</v>
      </c>
      <c r="I119">
        <v>1</v>
      </c>
      <c r="L119">
        <f t="shared" si="1"/>
        <v>1</v>
      </c>
    </row>
    <row r="120" spans="1:12" x14ac:dyDescent="0.25">
      <c r="A120" s="3">
        <v>119</v>
      </c>
      <c r="B120" s="3" t="s">
        <v>311</v>
      </c>
      <c r="C120" s="3"/>
      <c r="D120" s="3"/>
      <c r="E120" s="5" t="s">
        <v>130</v>
      </c>
      <c r="F120" s="3"/>
      <c r="G120">
        <v>1</v>
      </c>
      <c r="H120">
        <v>0</v>
      </c>
      <c r="I120">
        <v>1</v>
      </c>
      <c r="L120">
        <f t="shared" si="1"/>
        <v>1</v>
      </c>
    </row>
    <row r="121" spans="1:12" ht="45" x14ac:dyDescent="0.25">
      <c r="A121" s="3">
        <v>120</v>
      </c>
      <c r="B121" s="3" t="s">
        <v>312</v>
      </c>
      <c r="C121" s="3" t="s">
        <v>313</v>
      </c>
      <c r="D121" s="3" t="s">
        <v>314</v>
      </c>
      <c r="E121" s="5" t="s">
        <v>130</v>
      </c>
      <c r="F121" s="3" t="s">
        <v>315</v>
      </c>
      <c r="G121">
        <v>1</v>
      </c>
      <c r="H121">
        <v>0</v>
      </c>
      <c r="I121">
        <v>1</v>
      </c>
      <c r="J121">
        <v>1</v>
      </c>
      <c r="L121">
        <f t="shared" si="1"/>
        <v>1</v>
      </c>
    </row>
    <row r="122" spans="1:12" ht="45" x14ac:dyDescent="0.25">
      <c r="A122" s="3">
        <v>121</v>
      </c>
      <c r="B122" s="3" t="s">
        <v>316</v>
      </c>
      <c r="C122" s="3" t="s">
        <v>317</v>
      </c>
      <c r="D122" s="3"/>
      <c r="E122" s="5" t="s">
        <v>130</v>
      </c>
      <c r="F122" s="3" t="s">
        <v>318</v>
      </c>
      <c r="G122">
        <v>0</v>
      </c>
      <c r="H122">
        <v>0</v>
      </c>
      <c r="I122">
        <v>1</v>
      </c>
      <c r="L122">
        <f t="shared" si="1"/>
        <v>0</v>
      </c>
    </row>
    <row r="123" spans="1:12" ht="30" x14ac:dyDescent="0.25">
      <c r="A123" s="3">
        <v>122</v>
      </c>
      <c r="B123" s="3" t="s">
        <v>319</v>
      </c>
      <c r="C123" s="3" t="s">
        <v>320</v>
      </c>
      <c r="D123" s="3" t="s">
        <v>321</v>
      </c>
      <c r="E123" s="5" t="s">
        <v>130</v>
      </c>
      <c r="F123" s="3" t="s">
        <v>322</v>
      </c>
      <c r="G123">
        <v>0</v>
      </c>
      <c r="H123">
        <v>0</v>
      </c>
      <c r="I123">
        <v>1</v>
      </c>
      <c r="K123" t="s">
        <v>630</v>
      </c>
      <c r="L123">
        <f t="shared" si="1"/>
        <v>0</v>
      </c>
    </row>
    <row r="124" spans="1:12" ht="45" x14ac:dyDescent="0.25">
      <c r="A124" s="3">
        <v>123</v>
      </c>
      <c r="B124" s="3" t="s">
        <v>323</v>
      </c>
      <c r="C124" s="3" t="s">
        <v>324</v>
      </c>
      <c r="D124" s="3" t="s">
        <v>325</v>
      </c>
      <c r="E124" s="5" t="s">
        <v>130</v>
      </c>
      <c r="F124" s="3" t="s">
        <v>326</v>
      </c>
      <c r="G124">
        <v>1</v>
      </c>
      <c r="H124">
        <v>0</v>
      </c>
      <c r="I124">
        <v>1</v>
      </c>
      <c r="L124">
        <f t="shared" si="1"/>
        <v>1</v>
      </c>
    </row>
    <row r="125" spans="1:12" ht="30" x14ac:dyDescent="0.25">
      <c r="A125" s="3">
        <v>124</v>
      </c>
      <c r="B125" s="3" t="s">
        <v>327</v>
      </c>
      <c r="C125" s="3" t="s">
        <v>328</v>
      </c>
      <c r="D125" s="3" t="s">
        <v>329</v>
      </c>
      <c r="E125" s="5" t="s">
        <v>130</v>
      </c>
      <c r="F125" s="3" t="s">
        <v>330</v>
      </c>
      <c r="G125">
        <v>1</v>
      </c>
      <c r="H125">
        <v>0</v>
      </c>
      <c r="I125">
        <v>1</v>
      </c>
      <c r="L125">
        <f t="shared" si="1"/>
        <v>1</v>
      </c>
    </row>
    <row r="126" spans="1:12" ht="30" x14ac:dyDescent="0.25">
      <c r="A126" s="3">
        <v>125</v>
      </c>
      <c r="B126" s="3" t="s">
        <v>331</v>
      </c>
      <c r="C126" s="3" t="s">
        <v>332</v>
      </c>
      <c r="D126" s="3" t="s">
        <v>333</v>
      </c>
      <c r="E126" s="5" t="s">
        <v>130</v>
      </c>
      <c r="F126" s="3" t="s">
        <v>334</v>
      </c>
      <c r="G126">
        <v>0</v>
      </c>
      <c r="H126">
        <v>1</v>
      </c>
      <c r="I126">
        <v>0</v>
      </c>
      <c r="L126">
        <f t="shared" si="1"/>
        <v>0</v>
      </c>
    </row>
    <row r="127" spans="1:12" ht="30" x14ac:dyDescent="0.25">
      <c r="A127" s="3">
        <v>126</v>
      </c>
      <c r="B127" s="3" t="s">
        <v>335</v>
      </c>
      <c r="C127" s="3"/>
      <c r="D127" s="3"/>
      <c r="E127" s="5" t="s">
        <v>130</v>
      </c>
      <c r="F127" s="3"/>
      <c r="G127">
        <v>0</v>
      </c>
      <c r="H127">
        <v>0</v>
      </c>
      <c r="I127">
        <v>1</v>
      </c>
      <c r="L127">
        <f t="shared" si="1"/>
        <v>0</v>
      </c>
    </row>
    <row r="128" spans="1:12" ht="30" x14ac:dyDescent="0.25">
      <c r="A128" s="3">
        <v>127</v>
      </c>
      <c r="B128" s="3" t="s">
        <v>336</v>
      </c>
      <c r="C128" s="3"/>
      <c r="D128" s="3"/>
      <c r="E128" s="5" t="s">
        <v>130</v>
      </c>
      <c r="F128" s="3"/>
      <c r="G128">
        <v>0</v>
      </c>
      <c r="H128">
        <v>1</v>
      </c>
      <c r="I128">
        <v>1</v>
      </c>
      <c r="L128">
        <f t="shared" si="1"/>
        <v>0</v>
      </c>
    </row>
    <row r="129" spans="1:12" ht="30" x14ac:dyDescent="0.25">
      <c r="A129" s="3">
        <v>128</v>
      </c>
      <c r="B129" s="3" t="s">
        <v>337</v>
      </c>
      <c r="C129" s="3"/>
      <c r="D129" s="3" t="s">
        <v>338</v>
      </c>
      <c r="E129" s="5" t="s">
        <v>130</v>
      </c>
      <c r="F129" s="3" t="s">
        <v>339</v>
      </c>
      <c r="G129">
        <v>1</v>
      </c>
      <c r="H129">
        <v>0</v>
      </c>
      <c r="I129">
        <v>1</v>
      </c>
      <c r="L129">
        <f t="shared" si="1"/>
        <v>1</v>
      </c>
    </row>
    <row r="130" spans="1:12" ht="30" x14ac:dyDescent="0.25">
      <c r="A130" s="3">
        <v>129</v>
      </c>
      <c r="B130" s="3" t="s">
        <v>340</v>
      </c>
      <c r="C130" s="3" t="s">
        <v>341</v>
      </c>
      <c r="D130" s="3" t="s">
        <v>342</v>
      </c>
      <c r="E130" s="5" t="s">
        <v>130</v>
      </c>
      <c r="F130" s="3" t="s">
        <v>343</v>
      </c>
      <c r="G130">
        <v>0</v>
      </c>
      <c r="H130">
        <v>0</v>
      </c>
      <c r="I130">
        <v>1</v>
      </c>
      <c r="K130" t="s">
        <v>630</v>
      </c>
      <c r="L130">
        <f t="shared" si="1"/>
        <v>0</v>
      </c>
    </row>
    <row r="131" spans="1:12" ht="30" x14ac:dyDescent="0.25">
      <c r="A131" s="3">
        <v>130</v>
      </c>
      <c r="B131" s="3" t="s">
        <v>344</v>
      </c>
      <c r="C131" s="3" t="s">
        <v>345</v>
      </c>
      <c r="D131" s="3" t="s">
        <v>145</v>
      </c>
      <c r="E131" s="5" t="s">
        <v>130</v>
      </c>
      <c r="F131" s="3" t="s">
        <v>346</v>
      </c>
      <c r="G131">
        <v>1</v>
      </c>
      <c r="H131">
        <v>0</v>
      </c>
      <c r="I131">
        <v>1</v>
      </c>
      <c r="L131">
        <f t="shared" ref="L131:L194" si="2">G131*(1-H131)*I131</f>
        <v>1</v>
      </c>
    </row>
    <row r="132" spans="1:12" ht="30" x14ac:dyDescent="0.25">
      <c r="A132" s="3">
        <v>131</v>
      </c>
      <c r="B132" s="3" t="s">
        <v>347</v>
      </c>
      <c r="C132" s="3"/>
      <c r="D132" s="3" t="s">
        <v>348</v>
      </c>
      <c r="E132" s="5" t="s">
        <v>130</v>
      </c>
      <c r="F132" s="3"/>
      <c r="G132">
        <v>1</v>
      </c>
      <c r="H132">
        <v>0</v>
      </c>
      <c r="I132">
        <v>1</v>
      </c>
      <c r="L132">
        <f t="shared" si="2"/>
        <v>1</v>
      </c>
    </row>
    <row r="133" spans="1:12" x14ac:dyDescent="0.25">
      <c r="A133" s="3">
        <v>132</v>
      </c>
      <c r="B133" s="3" t="s">
        <v>349</v>
      </c>
      <c r="C133" s="3" t="s">
        <v>350</v>
      </c>
      <c r="D133" s="3" t="s">
        <v>351</v>
      </c>
      <c r="E133" s="5" t="s">
        <v>130</v>
      </c>
      <c r="F133" s="3"/>
      <c r="G133">
        <v>1</v>
      </c>
      <c r="H133">
        <v>0</v>
      </c>
      <c r="I133">
        <v>1</v>
      </c>
      <c r="L133">
        <f t="shared" si="2"/>
        <v>1</v>
      </c>
    </row>
    <row r="134" spans="1:12" ht="60" x14ac:dyDescent="0.25">
      <c r="A134" s="3">
        <v>133</v>
      </c>
      <c r="B134" s="3" t="s">
        <v>352</v>
      </c>
      <c r="C134" s="3" t="s">
        <v>353</v>
      </c>
      <c r="D134" s="3" t="s">
        <v>197</v>
      </c>
      <c r="E134" s="5" t="s">
        <v>130</v>
      </c>
      <c r="F134" s="3" t="s">
        <v>354</v>
      </c>
      <c r="G134">
        <v>0</v>
      </c>
      <c r="H134">
        <v>0</v>
      </c>
      <c r="I134">
        <v>1</v>
      </c>
      <c r="L134">
        <f t="shared" si="2"/>
        <v>0</v>
      </c>
    </row>
    <row r="135" spans="1:12" ht="60" x14ac:dyDescent="0.25">
      <c r="A135" s="3">
        <v>134</v>
      </c>
      <c r="B135" s="3" t="s">
        <v>355</v>
      </c>
      <c r="C135" s="3" t="s">
        <v>356</v>
      </c>
      <c r="D135" s="3" t="s">
        <v>357</v>
      </c>
      <c r="E135" s="5" t="s">
        <v>130</v>
      </c>
      <c r="F135" s="3" t="s">
        <v>358</v>
      </c>
      <c r="G135">
        <v>1</v>
      </c>
      <c r="H135">
        <v>0</v>
      </c>
      <c r="I135">
        <v>1</v>
      </c>
      <c r="J135">
        <v>1</v>
      </c>
      <c r="L135">
        <f t="shared" si="2"/>
        <v>1</v>
      </c>
    </row>
    <row r="136" spans="1:12" ht="30" x14ac:dyDescent="0.25">
      <c r="A136" s="3">
        <v>135</v>
      </c>
      <c r="B136" s="3" t="s">
        <v>359</v>
      </c>
      <c r="C136" s="3"/>
      <c r="D136" s="3" t="s">
        <v>145</v>
      </c>
      <c r="E136" s="5" t="s">
        <v>130</v>
      </c>
      <c r="F136" s="3" t="s">
        <v>360</v>
      </c>
      <c r="G136">
        <v>1</v>
      </c>
      <c r="H136">
        <v>0</v>
      </c>
      <c r="I136">
        <v>1</v>
      </c>
      <c r="L136">
        <f t="shared" si="2"/>
        <v>1</v>
      </c>
    </row>
    <row r="137" spans="1:12" ht="45" x14ac:dyDescent="0.25">
      <c r="A137" s="3">
        <v>136</v>
      </c>
      <c r="B137" s="3" t="s">
        <v>361</v>
      </c>
      <c r="C137" s="3" t="s">
        <v>362</v>
      </c>
      <c r="D137" s="3" t="s">
        <v>363</v>
      </c>
      <c r="E137" s="5" t="s">
        <v>130</v>
      </c>
      <c r="F137" s="3"/>
      <c r="G137">
        <v>1</v>
      </c>
      <c r="H137">
        <v>0</v>
      </c>
      <c r="I137">
        <v>1</v>
      </c>
      <c r="L137">
        <f t="shared" si="2"/>
        <v>1</v>
      </c>
    </row>
    <row r="138" spans="1:12" x14ac:dyDescent="0.25">
      <c r="A138" s="3">
        <v>137</v>
      </c>
      <c r="B138" s="3" t="s">
        <v>364</v>
      </c>
      <c r="C138" s="3"/>
      <c r="D138" s="3"/>
      <c r="E138" s="5" t="s">
        <v>130</v>
      </c>
      <c r="F138" s="3"/>
      <c r="G138">
        <v>1</v>
      </c>
      <c r="H138">
        <v>0</v>
      </c>
      <c r="I138">
        <v>1</v>
      </c>
      <c r="L138">
        <f t="shared" si="2"/>
        <v>1</v>
      </c>
    </row>
    <row r="139" spans="1:12" ht="75" x14ac:dyDescent="0.25">
      <c r="A139" s="3">
        <v>138</v>
      </c>
      <c r="B139" s="3" t="s">
        <v>365</v>
      </c>
      <c r="C139" s="3" t="s">
        <v>366</v>
      </c>
      <c r="D139" s="3" t="s">
        <v>367</v>
      </c>
      <c r="E139" s="5" t="s">
        <v>130</v>
      </c>
      <c r="F139" s="3" t="s">
        <v>368</v>
      </c>
      <c r="G139">
        <v>0</v>
      </c>
      <c r="H139">
        <v>1</v>
      </c>
      <c r="I139">
        <v>0</v>
      </c>
      <c r="L139">
        <f t="shared" si="2"/>
        <v>0</v>
      </c>
    </row>
    <row r="140" spans="1:12" x14ac:dyDescent="0.25">
      <c r="A140" s="3">
        <v>139</v>
      </c>
      <c r="B140" s="3" t="s">
        <v>369</v>
      </c>
      <c r="C140" s="3"/>
      <c r="D140" s="3" t="s">
        <v>84</v>
      </c>
      <c r="E140" s="5" t="s">
        <v>130</v>
      </c>
      <c r="F140" s="3" t="s">
        <v>370</v>
      </c>
      <c r="G140">
        <v>1</v>
      </c>
      <c r="H140">
        <v>0</v>
      </c>
      <c r="I140">
        <v>1</v>
      </c>
      <c r="L140">
        <f t="shared" si="2"/>
        <v>1</v>
      </c>
    </row>
    <row r="141" spans="1:12" x14ac:dyDescent="0.25">
      <c r="A141" s="3">
        <v>140</v>
      </c>
      <c r="B141" s="3" t="s">
        <v>371</v>
      </c>
      <c r="C141" s="3"/>
      <c r="D141" s="3" t="s">
        <v>325</v>
      </c>
      <c r="E141" s="5" t="s">
        <v>130</v>
      </c>
      <c r="F141" s="3" t="s">
        <v>371</v>
      </c>
      <c r="G141">
        <v>1</v>
      </c>
      <c r="H141">
        <v>0</v>
      </c>
      <c r="I141">
        <v>1</v>
      </c>
      <c r="L141">
        <f t="shared" si="2"/>
        <v>1</v>
      </c>
    </row>
    <row r="142" spans="1:12" x14ac:dyDescent="0.25">
      <c r="A142" s="3">
        <v>141</v>
      </c>
      <c r="B142" s="3" t="s">
        <v>372</v>
      </c>
      <c r="C142" s="3" t="s">
        <v>373</v>
      </c>
      <c r="D142" s="3" t="s">
        <v>374</v>
      </c>
      <c r="E142" s="5" t="s">
        <v>130</v>
      </c>
      <c r="F142" s="3" t="s">
        <v>375</v>
      </c>
      <c r="G142">
        <v>1</v>
      </c>
      <c r="H142">
        <v>0</v>
      </c>
      <c r="I142">
        <v>1</v>
      </c>
      <c r="L142">
        <f t="shared" si="2"/>
        <v>1</v>
      </c>
    </row>
    <row r="143" spans="1:12" ht="30" x14ac:dyDescent="0.25">
      <c r="A143" s="3">
        <v>142</v>
      </c>
      <c r="B143" s="3" t="s">
        <v>376</v>
      </c>
      <c r="C143" s="3" t="s">
        <v>377</v>
      </c>
      <c r="D143" s="3" t="s">
        <v>378</v>
      </c>
      <c r="E143" s="5" t="s">
        <v>130</v>
      </c>
      <c r="F143" s="3" t="s">
        <v>379</v>
      </c>
      <c r="G143">
        <v>1</v>
      </c>
      <c r="H143">
        <v>0</v>
      </c>
      <c r="I143">
        <v>1</v>
      </c>
      <c r="L143">
        <f t="shared" si="2"/>
        <v>1</v>
      </c>
    </row>
    <row r="144" spans="1:12" ht="45" x14ac:dyDescent="0.25">
      <c r="A144" s="3">
        <v>143</v>
      </c>
      <c r="B144" s="3" t="s">
        <v>380</v>
      </c>
      <c r="C144" s="3" t="s">
        <v>381</v>
      </c>
      <c r="D144" s="3" t="s">
        <v>265</v>
      </c>
      <c r="E144" s="5" t="s">
        <v>130</v>
      </c>
      <c r="F144" s="3" t="s">
        <v>266</v>
      </c>
      <c r="G144">
        <v>1</v>
      </c>
      <c r="H144">
        <v>0</v>
      </c>
      <c r="I144">
        <v>1</v>
      </c>
      <c r="L144">
        <f t="shared" si="2"/>
        <v>1</v>
      </c>
    </row>
    <row r="145" spans="1:12" ht="30" x14ac:dyDescent="0.25">
      <c r="A145" s="3">
        <v>144</v>
      </c>
      <c r="B145" s="3" t="s">
        <v>382</v>
      </c>
      <c r="C145" s="3" t="s">
        <v>383</v>
      </c>
      <c r="D145" s="3"/>
      <c r="E145" s="5" t="s">
        <v>130</v>
      </c>
      <c r="F145" s="3" t="s">
        <v>384</v>
      </c>
      <c r="G145">
        <v>1</v>
      </c>
      <c r="H145">
        <v>0</v>
      </c>
      <c r="I145">
        <v>1</v>
      </c>
      <c r="J145">
        <v>1</v>
      </c>
      <c r="L145">
        <f t="shared" si="2"/>
        <v>1</v>
      </c>
    </row>
    <row r="146" spans="1:12" x14ac:dyDescent="0.25">
      <c r="A146" s="3">
        <v>145</v>
      </c>
      <c r="B146" s="3" t="s">
        <v>385</v>
      </c>
      <c r="C146" s="3"/>
      <c r="D146" s="3" t="s">
        <v>386</v>
      </c>
      <c r="E146" s="5" t="s">
        <v>130</v>
      </c>
      <c r="F146" s="3" t="s">
        <v>387</v>
      </c>
      <c r="G146">
        <v>1</v>
      </c>
      <c r="H146">
        <v>0</v>
      </c>
      <c r="I146">
        <v>1</v>
      </c>
      <c r="L146">
        <f t="shared" si="2"/>
        <v>1</v>
      </c>
    </row>
    <row r="147" spans="1:12" ht="45" x14ac:dyDescent="0.25">
      <c r="A147" s="3">
        <v>146</v>
      </c>
      <c r="B147" s="3" t="s">
        <v>388</v>
      </c>
      <c r="C147" s="3" t="s">
        <v>389</v>
      </c>
      <c r="D147" s="3"/>
      <c r="E147" s="5" t="s">
        <v>130</v>
      </c>
      <c r="F147" s="3"/>
      <c r="G147">
        <v>1</v>
      </c>
      <c r="H147">
        <v>1</v>
      </c>
      <c r="I147">
        <v>1</v>
      </c>
      <c r="L147">
        <f t="shared" si="2"/>
        <v>0</v>
      </c>
    </row>
    <row r="148" spans="1:12" x14ac:dyDescent="0.25">
      <c r="A148" s="3">
        <v>147</v>
      </c>
      <c r="B148" s="3" t="s">
        <v>390</v>
      </c>
      <c r="C148" s="3" t="s">
        <v>391</v>
      </c>
      <c r="D148" s="3" t="s">
        <v>392</v>
      </c>
      <c r="E148" s="5" t="s">
        <v>130</v>
      </c>
      <c r="F148" s="3" t="s">
        <v>393</v>
      </c>
      <c r="G148">
        <v>1</v>
      </c>
      <c r="H148">
        <v>1</v>
      </c>
      <c r="I148">
        <v>1</v>
      </c>
      <c r="L148">
        <f t="shared" si="2"/>
        <v>0</v>
      </c>
    </row>
    <row r="149" spans="1:12" ht="30" x14ac:dyDescent="0.25">
      <c r="A149" s="3">
        <v>148</v>
      </c>
      <c r="B149" s="3" t="s">
        <v>394</v>
      </c>
      <c r="C149" s="3" t="s">
        <v>341</v>
      </c>
      <c r="D149" s="3" t="s">
        <v>342</v>
      </c>
      <c r="E149" s="5" t="s">
        <v>130</v>
      </c>
      <c r="F149" s="3" t="s">
        <v>395</v>
      </c>
      <c r="G149">
        <v>0</v>
      </c>
      <c r="H149">
        <v>1</v>
      </c>
      <c r="I149">
        <v>1</v>
      </c>
      <c r="L149">
        <f t="shared" si="2"/>
        <v>0</v>
      </c>
    </row>
    <row r="150" spans="1:12" ht="30" x14ac:dyDescent="0.25">
      <c r="A150" s="3">
        <v>149</v>
      </c>
      <c r="B150" s="3" t="s">
        <v>396</v>
      </c>
      <c r="C150" s="3" t="s">
        <v>264</v>
      </c>
      <c r="D150" s="3"/>
      <c r="E150" s="5" t="s">
        <v>130</v>
      </c>
      <c r="F150" s="3" t="s">
        <v>397</v>
      </c>
      <c r="G150">
        <v>1</v>
      </c>
      <c r="H150">
        <v>0</v>
      </c>
      <c r="I150">
        <v>1</v>
      </c>
      <c r="L150">
        <f t="shared" si="2"/>
        <v>1</v>
      </c>
    </row>
    <row r="151" spans="1:12" ht="30" x14ac:dyDescent="0.25">
      <c r="A151" s="3">
        <v>150</v>
      </c>
      <c r="B151" s="3" t="s">
        <v>398</v>
      </c>
      <c r="C151" s="3" t="s">
        <v>399</v>
      </c>
      <c r="D151" s="3" t="s">
        <v>342</v>
      </c>
      <c r="E151" s="5" t="s">
        <v>130</v>
      </c>
      <c r="F151" s="3" t="s">
        <v>400</v>
      </c>
      <c r="G151">
        <v>0</v>
      </c>
      <c r="H151">
        <v>0</v>
      </c>
      <c r="I151">
        <v>1</v>
      </c>
      <c r="L151">
        <f t="shared" si="2"/>
        <v>0</v>
      </c>
    </row>
    <row r="152" spans="1:12" x14ac:dyDescent="0.25">
      <c r="A152" s="3">
        <v>151</v>
      </c>
      <c r="B152" s="3" t="s">
        <v>401</v>
      </c>
      <c r="C152" s="3" t="s">
        <v>270</v>
      </c>
      <c r="D152" s="3"/>
      <c r="E152" s="5" t="s">
        <v>130</v>
      </c>
      <c r="F152" s="3"/>
      <c r="G152">
        <v>0</v>
      </c>
      <c r="H152">
        <v>0</v>
      </c>
      <c r="I152">
        <v>1</v>
      </c>
      <c r="L152">
        <f t="shared" si="2"/>
        <v>0</v>
      </c>
    </row>
    <row r="153" spans="1:12" x14ac:dyDescent="0.25">
      <c r="A153" s="3">
        <v>152</v>
      </c>
      <c r="B153" s="3" t="s">
        <v>402</v>
      </c>
      <c r="C153" s="3"/>
      <c r="D153" s="3"/>
      <c r="E153" s="5" t="s">
        <v>130</v>
      </c>
      <c r="F153" s="3"/>
      <c r="G153">
        <v>1</v>
      </c>
      <c r="H153">
        <v>0</v>
      </c>
      <c r="I153">
        <v>1</v>
      </c>
      <c r="L153">
        <f t="shared" si="2"/>
        <v>1</v>
      </c>
    </row>
    <row r="154" spans="1:12" ht="30" x14ac:dyDescent="0.25">
      <c r="A154" s="3">
        <v>153</v>
      </c>
      <c r="B154" s="3" t="s">
        <v>403</v>
      </c>
      <c r="C154" s="3" t="s">
        <v>404</v>
      </c>
      <c r="D154" s="3" t="s">
        <v>404</v>
      </c>
      <c r="E154" s="5" t="s">
        <v>130</v>
      </c>
      <c r="F154" s="3" t="s">
        <v>405</v>
      </c>
      <c r="G154">
        <v>0</v>
      </c>
      <c r="H154">
        <v>0</v>
      </c>
      <c r="I154">
        <v>1</v>
      </c>
      <c r="L154">
        <f t="shared" si="2"/>
        <v>0</v>
      </c>
    </row>
    <row r="155" spans="1:12" x14ac:dyDescent="0.25">
      <c r="A155" s="3">
        <v>154</v>
      </c>
      <c r="B155" s="3" t="s">
        <v>406</v>
      </c>
      <c r="C155" s="3" t="s">
        <v>407</v>
      </c>
      <c r="D155" s="3" t="s">
        <v>408</v>
      </c>
      <c r="E155" s="5" t="s">
        <v>130</v>
      </c>
      <c r="F155" s="3"/>
      <c r="G155">
        <v>1</v>
      </c>
      <c r="H155">
        <v>1</v>
      </c>
      <c r="I155">
        <v>1</v>
      </c>
      <c r="L155">
        <f t="shared" si="2"/>
        <v>0</v>
      </c>
    </row>
    <row r="156" spans="1:12" ht="30" x14ac:dyDescent="0.25">
      <c r="A156" s="3">
        <v>155</v>
      </c>
      <c r="B156" s="3" t="s">
        <v>409</v>
      </c>
      <c r="C156" s="3" t="s">
        <v>410</v>
      </c>
      <c r="D156" s="3"/>
      <c r="E156" s="5" t="s">
        <v>130</v>
      </c>
      <c r="F156" s="3"/>
      <c r="G156">
        <v>1</v>
      </c>
      <c r="H156">
        <v>0</v>
      </c>
      <c r="I156">
        <v>1</v>
      </c>
      <c r="L156">
        <f t="shared" si="2"/>
        <v>1</v>
      </c>
    </row>
    <row r="157" spans="1:12" ht="30" x14ac:dyDescent="0.25">
      <c r="A157" s="3">
        <v>156</v>
      </c>
      <c r="B157" s="3" t="s">
        <v>411</v>
      </c>
      <c r="C157" s="3" t="s">
        <v>373</v>
      </c>
      <c r="D157" s="3" t="s">
        <v>412</v>
      </c>
      <c r="E157" s="5" t="s">
        <v>130</v>
      </c>
      <c r="F157" s="3" t="s">
        <v>413</v>
      </c>
      <c r="G157">
        <v>1</v>
      </c>
      <c r="H157">
        <v>0</v>
      </c>
      <c r="I157">
        <v>1</v>
      </c>
      <c r="L157">
        <f t="shared" si="2"/>
        <v>1</v>
      </c>
    </row>
    <row r="158" spans="1:12" ht="30" x14ac:dyDescent="0.25">
      <c r="A158" s="3">
        <v>157</v>
      </c>
      <c r="B158" s="3" t="s">
        <v>414</v>
      </c>
      <c r="C158" s="3" t="s">
        <v>415</v>
      </c>
      <c r="D158" s="3" t="s">
        <v>378</v>
      </c>
      <c r="E158" s="5" t="s">
        <v>130</v>
      </c>
      <c r="F158" s="3" t="s">
        <v>416</v>
      </c>
      <c r="G158">
        <v>1</v>
      </c>
      <c r="H158">
        <v>0</v>
      </c>
      <c r="I158">
        <v>1</v>
      </c>
      <c r="L158">
        <f t="shared" si="2"/>
        <v>1</v>
      </c>
    </row>
    <row r="159" spans="1:12" ht="45" x14ac:dyDescent="0.25">
      <c r="A159" s="3">
        <v>158</v>
      </c>
      <c r="B159" s="3" t="s">
        <v>417</v>
      </c>
      <c r="C159" s="3" t="s">
        <v>373</v>
      </c>
      <c r="D159" s="3" t="s">
        <v>373</v>
      </c>
      <c r="E159" s="5" t="s">
        <v>130</v>
      </c>
      <c r="F159" s="3" t="s">
        <v>418</v>
      </c>
      <c r="G159">
        <v>1</v>
      </c>
      <c r="H159">
        <v>0</v>
      </c>
      <c r="I159">
        <v>1</v>
      </c>
      <c r="L159">
        <f t="shared" si="2"/>
        <v>1</v>
      </c>
    </row>
    <row r="160" spans="1:12" ht="45" x14ac:dyDescent="0.25">
      <c r="A160" s="3">
        <v>159</v>
      </c>
      <c r="B160" s="3" t="s">
        <v>419</v>
      </c>
      <c r="C160" s="3" t="s">
        <v>420</v>
      </c>
      <c r="D160" s="3" t="s">
        <v>421</v>
      </c>
      <c r="E160" s="5" t="s">
        <v>130</v>
      </c>
      <c r="F160" s="3" t="s">
        <v>422</v>
      </c>
      <c r="G160">
        <v>1</v>
      </c>
      <c r="H160">
        <v>0</v>
      </c>
      <c r="I160">
        <v>1</v>
      </c>
      <c r="L160">
        <f t="shared" si="2"/>
        <v>1</v>
      </c>
    </row>
    <row r="161" spans="1:12" x14ac:dyDescent="0.25">
      <c r="A161" s="3">
        <v>160</v>
      </c>
      <c r="B161" s="3" t="s">
        <v>423</v>
      </c>
      <c r="C161" s="3" t="s">
        <v>407</v>
      </c>
      <c r="D161" s="3" t="s">
        <v>408</v>
      </c>
      <c r="E161" s="5" t="s">
        <v>130</v>
      </c>
      <c r="F161" s="3"/>
      <c r="G161">
        <v>1</v>
      </c>
      <c r="H161">
        <v>0</v>
      </c>
      <c r="I161">
        <v>1</v>
      </c>
      <c r="L161">
        <f t="shared" si="2"/>
        <v>1</v>
      </c>
    </row>
    <row r="162" spans="1:12" ht="30" x14ac:dyDescent="0.25">
      <c r="A162" s="3">
        <v>161</v>
      </c>
      <c r="B162" s="3" t="s">
        <v>424</v>
      </c>
      <c r="C162" s="3" t="s">
        <v>425</v>
      </c>
      <c r="D162" s="3" t="s">
        <v>426</v>
      </c>
      <c r="E162" s="5" t="s">
        <v>130</v>
      </c>
      <c r="F162" s="3" t="s">
        <v>427</v>
      </c>
      <c r="G162">
        <v>1</v>
      </c>
      <c r="H162">
        <v>0</v>
      </c>
      <c r="I162">
        <v>1</v>
      </c>
      <c r="L162">
        <f t="shared" si="2"/>
        <v>1</v>
      </c>
    </row>
    <row r="163" spans="1:12" ht="30" x14ac:dyDescent="0.25">
      <c r="A163" s="3">
        <v>162</v>
      </c>
      <c r="B163" s="3" t="s">
        <v>428</v>
      </c>
      <c r="C163" s="3" t="s">
        <v>373</v>
      </c>
      <c r="D163" s="3" t="s">
        <v>429</v>
      </c>
      <c r="E163" s="5" t="s">
        <v>130</v>
      </c>
      <c r="F163" s="3" t="s">
        <v>430</v>
      </c>
      <c r="G163">
        <v>1</v>
      </c>
      <c r="H163">
        <v>0</v>
      </c>
      <c r="I163">
        <v>1</v>
      </c>
      <c r="L163">
        <f t="shared" si="2"/>
        <v>1</v>
      </c>
    </row>
    <row r="164" spans="1:12" x14ac:dyDescent="0.25">
      <c r="A164" s="3">
        <v>163</v>
      </c>
      <c r="B164" s="3" t="s">
        <v>431</v>
      </c>
      <c r="C164" s="3" t="s">
        <v>373</v>
      </c>
      <c r="D164" s="3" t="s">
        <v>373</v>
      </c>
      <c r="E164" s="5" t="s">
        <v>130</v>
      </c>
      <c r="F164" s="3"/>
      <c r="G164">
        <v>1</v>
      </c>
      <c r="H164">
        <v>1</v>
      </c>
      <c r="I164">
        <v>1</v>
      </c>
      <c r="L164">
        <f t="shared" si="2"/>
        <v>0</v>
      </c>
    </row>
    <row r="165" spans="1:12" ht="30" x14ac:dyDescent="0.25">
      <c r="A165" s="3">
        <v>164</v>
      </c>
      <c r="B165" s="3" t="s">
        <v>432</v>
      </c>
      <c r="C165" s="3" t="s">
        <v>325</v>
      </c>
      <c r="D165" s="3" t="s">
        <v>325</v>
      </c>
      <c r="E165" s="5" t="s">
        <v>130</v>
      </c>
      <c r="F165" s="3" t="s">
        <v>433</v>
      </c>
      <c r="G165">
        <v>0</v>
      </c>
      <c r="H165">
        <v>0</v>
      </c>
      <c r="I165">
        <v>1</v>
      </c>
      <c r="L165">
        <f t="shared" si="2"/>
        <v>0</v>
      </c>
    </row>
    <row r="166" spans="1:12" x14ac:dyDescent="0.25">
      <c r="A166" s="3">
        <v>165</v>
      </c>
      <c r="B166" s="3" t="s">
        <v>434</v>
      </c>
      <c r="C166" s="3"/>
      <c r="D166" s="3" t="s">
        <v>435</v>
      </c>
      <c r="E166" s="5" t="s">
        <v>130</v>
      </c>
      <c r="F166" s="3" t="s">
        <v>436</v>
      </c>
      <c r="G166">
        <v>1</v>
      </c>
      <c r="H166">
        <v>0</v>
      </c>
      <c r="I166">
        <v>1</v>
      </c>
      <c r="L166">
        <f t="shared" si="2"/>
        <v>1</v>
      </c>
    </row>
    <row r="167" spans="1:12" x14ac:dyDescent="0.25">
      <c r="A167" s="3">
        <v>166</v>
      </c>
      <c r="B167" s="3" t="s">
        <v>437</v>
      </c>
      <c r="C167" s="3" t="s">
        <v>438</v>
      </c>
      <c r="D167" s="3" t="s">
        <v>325</v>
      </c>
      <c r="E167" s="5" t="s">
        <v>130</v>
      </c>
      <c r="F167" s="3" t="s">
        <v>439</v>
      </c>
      <c r="G167">
        <v>1</v>
      </c>
      <c r="H167">
        <v>0</v>
      </c>
      <c r="I167">
        <v>1</v>
      </c>
      <c r="L167">
        <f t="shared" si="2"/>
        <v>1</v>
      </c>
    </row>
    <row r="168" spans="1:12" x14ac:dyDescent="0.25">
      <c r="A168" s="3">
        <v>167</v>
      </c>
      <c r="B168" s="3" t="s">
        <v>440</v>
      </c>
      <c r="C168" s="3"/>
      <c r="D168" s="3" t="s">
        <v>325</v>
      </c>
      <c r="E168" s="5" t="s">
        <v>130</v>
      </c>
      <c r="F168" s="3"/>
      <c r="G168">
        <v>1</v>
      </c>
      <c r="H168">
        <v>0</v>
      </c>
      <c r="I168">
        <v>1</v>
      </c>
      <c r="L168">
        <f t="shared" si="2"/>
        <v>1</v>
      </c>
    </row>
    <row r="169" spans="1:12" x14ac:dyDescent="0.25">
      <c r="A169" s="3">
        <v>168</v>
      </c>
      <c r="B169" s="3" t="s">
        <v>441</v>
      </c>
      <c r="C169" s="3"/>
      <c r="D169" s="3" t="s">
        <v>325</v>
      </c>
      <c r="E169" s="5" t="s">
        <v>130</v>
      </c>
      <c r="F169" s="3"/>
      <c r="G169">
        <v>1</v>
      </c>
      <c r="H169">
        <v>0</v>
      </c>
      <c r="I169">
        <v>1</v>
      </c>
      <c r="L169">
        <f t="shared" si="2"/>
        <v>1</v>
      </c>
    </row>
    <row r="170" spans="1:12" ht="30" x14ac:dyDescent="0.25">
      <c r="A170" s="3">
        <v>169</v>
      </c>
      <c r="B170" s="3" t="s">
        <v>442</v>
      </c>
      <c r="C170" s="3"/>
      <c r="D170" s="3" t="s">
        <v>325</v>
      </c>
      <c r="E170" s="5" t="s">
        <v>130</v>
      </c>
      <c r="F170" s="3"/>
      <c r="G170">
        <v>1</v>
      </c>
      <c r="H170">
        <v>0</v>
      </c>
      <c r="I170">
        <v>1</v>
      </c>
      <c r="L170">
        <f t="shared" si="2"/>
        <v>1</v>
      </c>
    </row>
    <row r="171" spans="1:12" x14ac:dyDescent="0.25">
      <c r="A171" s="3">
        <v>170</v>
      </c>
      <c r="B171" s="3" t="s">
        <v>443</v>
      </c>
      <c r="C171" s="3"/>
      <c r="D171" s="3" t="s">
        <v>325</v>
      </c>
      <c r="E171" s="5" t="s">
        <v>130</v>
      </c>
      <c r="F171" s="3"/>
      <c r="G171">
        <v>1</v>
      </c>
      <c r="H171">
        <v>0</v>
      </c>
      <c r="I171">
        <v>1</v>
      </c>
      <c r="L171">
        <f t="shared" si="2"/>
        <v>1</v>
      </c>
    </row>
    <row r="172" spans="1:12" x14ac:dyDescent="0.25">
      <c r="A172" s="3">
        <v>171</v>
      </c>
      <c r="B172" s="3" t="s">
        <v>444</v>
      </c>
      <c r="C172" s="3"/>
      <c r="D172" s="3" t="s">
        <v>325</v>
      </c>
      <c r="E172" s="5" t="s">
        <v>130</v>
      </c>
      <c r="F172" s="3"/>
      <c r="G172">
        <v>1</v>
      </c>
      <c r="H172">
        <v>0</v>
      </c>
      <c r="I172">
        <v>1</v>
      </c>
      <c r="L172">
        <f t="shared" si="2"/>
        <v>1</v>
      </c>
    </row>
    <row r="173" spans="1:12" x14ac:dyDescent="0.25">
      <c r="A173" s="3">
        <v>172</v>
      </c>
      <c r="B173" s="3" t="s">
        <v>445</v>
      </c>
      <c r="C173" s="3"/>
      <c r="D173" s="3" t="s">
        <v>325</v>
      </c>
      <c r="E173" s="5" t="s">
        <v>130</v>
      </c>
      <c r="F173" s="3"/>
      <c r="G173">
        <v>1</v>
      </c>
      <c r="H173">
        <v>0</v>
      </c>
      <c r="I173">
        <v>1</v>
      </c>
      <c r="L173">
        <f t="shared" si="2"/>
        <v>1</v>
      </c>
    </row>
    <row r="174" spans="1:12" x14ac:dyDescent="0.25">
      <c r="A174" s="3">
        <v>173</v>
      </c>
      <c r="B174" s="3" t="s">
        <v>446</v>
      </c>
      <c r="C174" s="3"/>
      <c r="D174" s="3" t="s">
        <v>325</v>
      </c>
      <c r="E174" s="5" t="s">
        <v>130</v>
      </c>
      <c r="F174" s="3"/>
      <c r="G174">
        <v>1</v>
      </c>
      <c r="H174">
        <v>0</v>
      </c>
      <c r="I174">
        <v>1</v>
      </c>
      <c r="L174">
        <f t="shared" si="2"/>
        <v>1</v>
      </c>
    </row>
    <row r="175" spans="1:12" x14ac:dyDescent="0.25">
      <c r="A175" s="3">
        <v>174</v>
      </c>
      <c r="B175" s="3" t="s">
        <v>447</v>
      </c>
      <c r="C175" s="3"/>
      <c r="D175" s="3" t="s">
        <v>325</v>
      </c>
      <c r="E175" s="5" t="s">
        <v>130</v>
      </c>
      <c r="F175" s="3"/>
      <c r="G175">
        <v>1</v>
      </c>
      <c r="H175">
        <v>0</v>
      </c>
      <c r="I175">
        <v>1</v>
      </c>
      <c r="L175">
        <f t="shared" si="2"/>
        <v>1</v>
      </c>
    </row>
    <row r="176" spans="1:12" x14ac:dyDescent="0.25">
      <c r="A176" s="3">
        <v>175</v>
      </c>
      <c r="B176" s="3" t="s">
        <v>448</v>
      </c>
      <c r="C176" s="3"/>
      <c r="D176" s="3" t="s">
        <v>325</v>
      </c>
      <c r="E176" s="5" t="s">
        <v>130</v>
      </c>
      <c r="F176" s="3"/>
      <c r="G176">
        <v>1</v>
      </c>
      <c r="H176">
        <v>0</v>
      </c>
      <c r="I176">
        <v>1</v>
      </c>
      <c r="L176">
        <f t="shared" si="2"/>
        <v>1</v>
      </c>
    </row>
    <row r="177" spans="1:12" ht="30" x14ac:dyDescent="0.25">
      <c r="A177" s="3">
        <v>176</v>
      </c>
      <c r="B177" s="3" t="s">
        <v>449</v>
      </c>
      <c r="C177" s="3"/>
      <c r="D177" s="3" t="s">
        <v>325</v>
      </c>
      <c r="E177" s="5" t="s">
        <v>130</v>
      </c>
      <c r="F177" s="3"/>
      <c r="G177">
        <v>1</v>
      </c>
      <c r="H177">
        <v>0</v>
      </c>
      <c r="I177">
        <v>1</v>
      </c>
      <c r="L177">
        <f t="shared" si="2"/>
        <v>1</v>
      </c>
    </row>
    <row r="178" spans="1:12" x14ac:dyDescent="0.25">
      <c r="A178" s="3">
        <v>177</v>
      </c>
      <c r="B178" s="3" t="s">
        <v>450</v>
      </c>
      <c r="C178" s="3"/>
      <c r="D178" s="3" t="s">
        <v>325</v>
      </c>
      <c r="E178" s="5" t="s">
        <v>130</v>
      </c>
      <c r="F178" s="3"/>
      <c r="G178">
        <v>1</v>
      </c>
      <c r="H178">
        <v>0</v>
      </c>
      <c r="I178">
        <v>1</v>
      </c>
      <c r="L178">
        <f t="shared" si="2"/>
        <v>1</v>
      </c>
    </row>
    <row r="179" spans="1:12" x14ac:dyDescent="0.25">
      <c r="A179" s="3">
        <v>178</v>
      </c>
      <c r="B179" s="3" t="s">
        <v>451</v>
      </c>
      <c r="C179" s="3"/>
      <c r="D179" s="3" t="s">
        <v>325</v>
      </c>
      <c r="E179" s="5" t="s">
        <v>130</v>
      </c>
      <c r="F179" s="3"/>
      <c r="G179">
        <v>1</v>
      </c>
      <c r="H179">
        <v>0</v>
      </c>
      <c r="I179">
        <v>1</v>
      </c>
      <c r="L179">
        <f t="shared" si="2"/>
        <v>1</v>
      </c>
    </row>
    <row r="180" spans="1:12" x14ac:dyDescent="0.25">
      <c r="A180" s="3">
        <v>179</v>
      </c>
      <c r="B180" s="3" t="s">
        <v>452</v>
      </c>
      <c r="C180" s="3"/>
      <c r="D180" s="3" t="s">
        <v>325</v>
      </c>
      <c r="E180" s="5" t="s">
        <v>130</v>
      </c>
      <c r="F180" s="3"/>
      <c r="G180">
        <v>1</v>
      </c>
      <c r="H180">
        <v>0</v>
      </c>
      <c r="I180">
        <v>1</v>
      </c>
      <c r="L180">
        <f t="shared" si="2"/>
        <v>1</v>
      </c>
    </row>
    <row r="181" spans="1:12" x14ac:dyDescent="0.25">
      <c r="A181" s="3">
        <v>180</v>
      </c>
      <c r="B181" s="3" t="s">
        <v>453</v>
      </c>
      <c r="C181" s="3"/>
      <c r="D181" s="3" t="s">
        <v>325</v>
      </c>
      <c r="E181" s="5" t="s">
        <v>130</v>
      </c>
      <c r="F181" s="3"/>
      <c r="G181">
        <v>1</v>
      </c>
      <c r="H181">
        <v>0</v>
      </c>
      <c r="I181">
        <v>1</v>
      </c>
      <c r="L181">
        <f t="shared" si="2"/>
        <v>1</v>
      </c>
    </row>
    <row r="182" spans="1:12" x14ac:dyDescent="0.25">
      <c r="A182" s="3">
        <v>181</v>
      </c>
      <c r="B182" s="3" t="s">
        <v>454</v>
      </c>
      <c r="C182" s="3"/>
      <c r="D182" s="3" t="s">
        <v>325</v>
      </c>
      <c r="E182" s="5" t="s">
        <v>130</v>
      </c>
      <c r="F182" s="3"/>
      <c r="G182">
        <v>1</v>
      </c>
      <c r="H182">
        <v>0</v>
      </c>
      <c r="I182">
        <v>1</v>
      </c>
      <c r="L182">
        <f t="shared" si="2"/>
        <v>1</v>
      </c>
    </row>
    <row r="183" spans="1:12" ht="30" x14ac:dyDescent="0.25">
      <c r="A183" s="3">
        <v>182</v>
      </c>
      <c r="B183" s="3" t="s">
        <v>455</v>
      </c>
      <c r="C183" s="3"/>
      <c r="D183" s="3" t="s">
        <v>325</v>
      </c>
      <c r="E183" s="5" t="s">
        <v>130</v>
      </c>
      <c r="F183" s="3"/>
      <c r="G183">
        <v>1</v>
      </c>
      <c r="H183">
        <v>0</v>
      </c>
      <c r="I183">
        <v>1</v>
      </c>
      <c r="L183">
        <f t="shared" si="2"/>
        <v>1</v>
      </c>
    </row>
    <row r="184" spans="1:12" x14ac:dyDescent="0.25">
      <c r="A184" s="3">
        <v>183</v>
      </c>
      <c r="B184" s="3" t="s">
        <v>456</v>
      </c>
      <c r="C184" s="3"/>
      <c r="D184" s="3" t="s">
        <v>325</v>
      </c>
      <c r="E184" s="5" t="s">
        <v>130</v>
      </c>
      <c r="F184" s="3"/>
      <c r="G184">
        <v>1</v>
      </c>
      <c r="H184">
        <v>0</v>
      </c>
      <c r="I184">
        <v>1</v>
      </c>
      <c r="L184">
        <f t="shared" si="2"/>
        <v>1</v>
      </c>
    </row>
    <row r="185" spans="1:12" ht="30" x14ac:dyDescent="0.25">
      <c r="A185" s="3">
        <v>184</v>
      </c>
      <c r="B185" s="3" t="s">
        <v>457</v>
      </c>
      <c r="C185" s="3"/>
      <c r="D185" s="3" t="s">
        <v>325</v>
      </c>
      <c r="E185" s="5" t="s">
        <v>130</v>
      </c>
      <c r="F185" s="3"/>
      <c r="G185">
        <v>1</v>
      </c>
      <c r="H185">
        <v>0</v>
      </c>
      <c r="I185">
        <v>1</v>
      </c>
      <c r="L185">
        <f t="shared" si="2"/>
        <v>1</v>
      </c>
    </row>
    <row r="186" spans="1:12" x14ac:dyDescent="0.25">
      <c r="A186" s="3">
        <v>185</v>
      </c>
      <c r="B186" s="3" t="s">
        <v>458</v>
      </c>
      <c r="C186" s="3"/>
      <c r="D186" s="3" t="s">
        <v>325</v>
      </c>
      <c r="E186" s="5" t="s">
        <v>130</v>
      </c>
      <c r="F186" s="3"/>
      <c r="G186">
        <v>1</v>
      </c>
      <c r="H186">
        <v>0</v>
      </c>
      <c r="I186">
        <v>1</v>
      </c>
      <c r="L186">
        <f t="shared" si="2"/>
        <v>1</v>
      </c>
    </row>
    <row r="187" spans="1:12" x14ac:dyDescent="0.25">
      <c r="A187" s="3">
        <v>186</v>
      </c>
      <c r="B187" s="3" t="s">
        <v>459</v>
      </c>
      <c r="C187" s="3"/>
      <c r="D187" s="3" t="s">
        <v>325</v>
      </c>
      <c r="E187" s="5" t="s">
        <v>130</v>
      </c>
      <c r="F187" s="3"/>
      <c r="G187">
        <v>1</v>
      </c>
      <c r="H187">
        <v>0</v>
      </c>
      <c r="I187">
        <v>1</v>
      </c>
      <c r="L187">
        <f t="shared" si="2"/>
        <v>1</v>
      </c>
    </row>
    <row r="188" spans="1:12" x14ac:dyDescent="0.25">
      <c r="A188" s="3">
        <v>187</v>
      </c>
      <c r="B188" s="3" t="s">
        <v>460</v>
      </c>
      <c r="C188" s="3"/>
      <c r="D188" s="3" t="s">
        <v>325</v>
      </c>
      <c r="E188" s="5" t="s">
        <v>130</v>
      </c>
      <c r="F188" s="3"/>
      <c r="G188">
        <v>1</v>
      </c>
      <c r="H188">
        <v>0</v>
      </c>
      <c r="I188">
        <v>1</v>
      </c>
      <c r="L188">
        <f t="shared" si="2"/>
        <v>1</v>
      </c>
    </row>
    <row r="189" spans="1:12" x14ac:dyDescent="0.25">
      <c r="A189" s="3">
        <v>188</v>
      </c>
      <c r="B189" s="3" t="s">
        <v>461</v>
      </c>
      <c r="C189" s="3"/>
      <c r="D189" s="3" t="s">
        <v>325</v>
      </c>
      <c r="E189" s="5" t="s">
        <v>130</v>
      </c>
      <c r="F189" s="3"/>
      <c r="G189">
        <v>1</v>
      </c>
      <c r="H189">
        <v>0</v>
      </c>
      <c r="I189">
        <v>1</v>
      </c>
      <c r="L189">
        <f t="shared" si="2"/>
        <v>1</v>
      </c>
    </row>
    <row r="190" spans="1:12" x14ac:dyDescent="0.25">
      <c r="A190" s="3">
        <v>189</v>
      </c>
      <c r="B190" s="3" t="s">
        <v>462</v>
      </c>
      <c r="C190" s="3"/>
      <c r="D190" s="3" t="s">
        <v>325</v>
      </c>
      <c r="E190" s="5" t="s">
        <v>130</v>
      </c>
      <c r="F190" s="3"/>
      <c r="G190">
        <v>1</v>
      </c>
      <c r="H190">
        <v>0</v>
      </c>
      <c r="I190">
        <v>1</v>
      </c>
      <c r="L190">
        <f t="shared" si="2"/>
        <v>1</v>
      </c>
    </row>
    <row r="191" spans="1:12" ht="30" x14ac:dyDescent="0.25">
      <c r="A191" s="3">
        <v>190</v>
      </c>
      <c r="B191" s="3" t="s">
        <v>463</v>
      </c>
      <c r="C191" s="3"/>
      <c r="D191" s="3" t="s">
        <v>325</v>
      </c>
      <c r="E191" s="5" t="s">
        <v>130</v>
      </c>
      <c r="F191" s="3"/>
      <c r="G191">
        <v>1</v>
      </c>
      <c r="H191">
        <v>0</v>
      </c>
      <c r="I191">
        <v>1</v>
      </c>
      <c r="L191">
        <f t="shared" si="2"/>
        <v>1</v>
      </c>
    </row>
    <row r="192" spans="1:12" x14ac:dyDescent="0.25">
      <c r="A192" s="3">
        <v>191</v>
      </c>
      <c r="B192" s="3" t="s">
        <v>464</v>
      </c>
      <c r="C192" s="3"/>
      <c r="D192" s="3" t="s">
        <v>325</v>
      </c>
      <c r="E192" s="5" t="s">
        <v>130</v>
      </c>
      <c r="F192" s="3"/>
      <c r="G192">
        <v>1</v>
      </c>
      <c r="H192">
        <v>0</v>
      </c>
      <c r="I192">
        <v>1</v>
      </c>
      <c r="L192">
        <f t="shared" si="2"/>
        <v>1</v>
      </c>
    </row>
    <row r="193" spans="1:12" x14ac:dyDescent="0.25">
      <c r="A193" s="3">
        <v>192</v>
      </c>
      <c r="B193" s="3" t="s">
        <v>465</v>
      </c>
      <c r="C193" s="3"/>
      <c r="D193" s="3" t="s">
        <v>325</v>
      </c>
      <c r="E193" s="5" t="s">
        <v>130</v>
      </c>
      <c r="F193" s="3"/>
      <c r="G193">
        <v>1</v>
      </c>
      <c r="H193">
        <v>0</v>
      </c>
      <c r="I193">
        <v>1</v>
      </c>
      <c r="L193">
        <f t="shared" si="2"/>
        <v>1</v>
      </c>
    </row>
    <row r="194" spans="1:12" x14ac:dyDescent="0.25">
      <c r="A194" s="3">
        <v>193</v>
      </c>
      <c r="B194" s="3" t="s">
        <v>466</v>
      </c>
      <c r="C194" s="3"/>
      <c r="D194" s="3" t="s">
        <v>325</v>
      </c>
      <c r="E194" s="5" t="s">
        <v>130</v>
      </c>
      <c r="F194" s="3"/>
      <c r="G194">
        <v>1</v>
      </c>
      <c r="H194">
        <v>0</v>
      </c>
      <c r="I194">
        <v>1</v>
      </c>
      <c r="L194">
        <f t="shared" si="2"/>
        <v>1</v>
      </c>
    </row>
    <row r="195" spans="1:12" ht="30" x14ac:dyDescent="0.25">
      <c r="A195" s="3">
        <v>194</v>
      </c>
      <c r="B195" s="3" t="s">
        <v>467</v>
      </c>
      <c r="C195" s="3"/>
      <c r="D195" s="3" t="s">
        <v>325</v>
      </c>
      <c r="E195" s="5" t="s">
        <v>130</v>
      </c>
      <c r="F195" s="3"/>
      <c r="G195">
        <v>1</v>
      </c>
      <c r="H195">
        <v>0</v>
      </c>
      <c r="I195">
        <v>1</v>
      </c>
      <c r="L195">
        <f t="shared" ref="L195:L258" si="3">G195*(1-H195)*I195</f>
        <v>1</v>
      </c>
    </row>
    <row r="196" spans="1:12" x14ac:dyDescent="0.25">
      <c r="A196" s="3">
        <v>195</v>
      </c>
      <c r="B196" s="3" t="s">
        <v>468</v>
      </c>
      <c r="C196" s="3"/>
      <c r="D196" s="3" t="s">
        <v>325</v>
      </c>
      <c r="E196" s="5" t="s">
        <v>130</v>
      </c>
      <c r="F196" s="3"/>
      <c r="G196">
        <v>1</v>
      </c>
      <c r="H196">
        <v>0</v>
      </c>
      <c r="I196">
        <v>1</v>
      </c>
      <c r="L196">
        <f t="shared" si="3"/>
        <v>1</v>
      </c>
    </row>
    <row r="197" spans="1:12" ht="30" x14ac:dyDescent="0.25">
      <c r="A197" s="3">
        <v>196</v>
      </c>
      <c r="B197" s="3" t="s">
        <v>469</v>
      </c>
      <c r="C197" s="3"/>
      <c r="D197" s="3" t="s">
        <v>325</v>
      </c>
      <c r="E197" s="5" t="s">
        <v>130</v>
      </c>
      <c r="F197" s="3"/>
      <c r="G197">
        <v>1</v>
      </c>
      <c r="H197">
        <v>0</v>
      </c>
      <c r="I197">
        <v>1</v>
      </c>
      <c r="L197">
        <f t="shared" si="3"/>
        <v>1</v>
      </c>
    </row>
    <row r="198" spans="1:12" x14ac:dyDescent="0.25">
      <c r="A198" s="3">
        <v>197</v>
      </c>
      <c r="B198" s="3" t="s">
        <v>470</v>
      </c>
      <c r="C198" s="3"/>
      <c r="D198" s="3" t="s">
        <v>325</v>
      </c>
      <c r="E198" s="5" t="s">
        <v>130</v>
      </c>
      <c r="F198" s="3"/>
      <c r="G198">
        <v>1</v>
      </c>
      <c r="H198">
        <v>0</v>
      </c>
      <c r="I198">
        <v>1</v>
      </c>
      <c r="L198">
        <f t="shared" si="3"/>
        <v>1</v>
      </c>
    </row>
    <row r="199" spans="1:12" x14ac:dyDescent="0.25">
      <c r="A199" s="3">
        <v>198</v>
      </c>
      <c r="B199" s="3" t="s">
        <v>471</v>
      </c>
      <c r="C199" s="3"/>
      <c r="D199" s="3" t="s">
        <v>325</v>
      </c>
      <c r="E199" s="5" t="s">
        <v>130</v>
      </c>
      <c r="F199" s="3"/>
      <c r="G199">
        <v>1</v>
      </c>
      <c r="H199">
        <v>0</v>
      </c>
      <c r="I199">
        <v>1</v>
      </c>
      <c r="L199">
        <f t="shared" si="3"/>
        <v>1</v>
      </c>
    </row>
    <row r="200" spans="1:12" ht="30" x14ac:dyDescent="0.25">
      <c r="A200" s="3">
        <v>199</v>
      </c>
      <c r="B200" s="3" t="s">
        <v>472</v>
      </c>
      <c r="C200" s="3"/>
      <c r="D200" s="3" t="s">
        <v>325</v>
      </c>
      <c r="E200" s="5" t="s">
        <v>130</v>
      </c>
      <c r="F200" s="3"/>
      <c r="G200">
        <v>1</v>
      </c>
      <c r="H200">
        <v>0</v>
      </c>
      <c r="I200">
        <v>1</v>
      </c>
      <c r="L200">
        <f t="shared" si="3"/>
        <v>1</v>
      </c>
    </row>
    <row r="201" spans="1:12" ht="30" x14ac:dyDescent="0.25">
      <c r="A201" s="3">
        <v>200</v>
      </c>
      <c r="B201" s="3" t="s">
        <v>473</v>
      </c>
      <c r="C201" s="3"/>
      <c r="D201" s="3" t="s">
        <v>325</v>
      </c>
      <c r="E201" s="5" t="s">
        <v>130</v>
      </c>
      <c r="F201" s="3"/>
      <c r="G201">
        <v>1</v>
      </c>
      <c r="H201">
        <v>0</v>
      </c>
      <c r="I201">
        <v>1</v>
      </c>
      <c r="L201">
        <f t="shared" si="3"/>
        <v>1</v>
      </c>
    </row>
    <row r="202" spans="1:12" ht="30" x14ac:dyDescent="0.25">
      <c r="A202" s="3">
        <v>201</v>
      </c>
      <c r="B202" s="3" t="s">
        <v>474</v>
      </c>
      <c r="C202" s="3"/>
      <c r="D202" s="3" t="s">
        <v>325</v>
      </c>
      <c r="E202" s="5" t="s">
        <v>130</v>
      </c>
      <c r="F202" s="3"/>
      <c r="G202">
        <v>1</v>
      </c>
      <c r="H202">
        <v>0</v>
      </c>
      <c r="I202">
        <v>1</v>
      </c>
      <c r="L202">
        <f t="shared" si="3"/>
        <v>1</v>
      </c>
    </row>
    <row r="203" spans="1:12" x14ac:dyDescent="0.25">
      <c r="A203" s="3">
        <v>202</v>
      </c>
      <c r="B203" s="3" t="s">
        <v>475</v>
      </c>
      <c r="C203" s="3"/>
      <c r="D203" s="3" t="s">
        <v>325</v>
      </c>
      <c r="E203" s="5" t="s">
        <v>130</v>
      </c>
      <c r="F203" s="3"/>
      <c r="G203">
        <v>1</v>
      </c>
      <c r="H203">
        <v>0</v>
      </c>
      <c r="I203">
        <v>1</v>
      </c>
      <c r="L203">
        <f t="shared" si="3"/>
        <v>1</v>
      </c>
    </row>
    <row r="204" spans="1:12" x14ac:dyDescent="0.25">
      <c r="A204" s="3">
        <v>203</v>
      </c>
      <c r="B204" s="3" t="s">
        <v>476</v>
      </c>
      <c r="C204" s="3"/>
      <c r="D204" s="3" t="s">
        <v>325</v>
      </c>
      <c r="E204" s="5" t="s">
        <v>130</v>
      </c>
      <c r="F204" s="3"/>
      <c r="G204">
        <v>1</v>
      </c>
      <c r="H204">
        <v>0</v>
      </c>
      <c r="I204">
        <v>1</v>
      </c>
      <c r="L204">
        <f t="shared" si="3"/>
        <v>1</v>
      </c>
    </row>
    <row r="205" spans="1:12" x14ac:dyDescent="0.25">
      <c r="A205" s="3">
        <v>204</v>
      </c>
      <c r="B205" s="3" t="s">
        <v>477</v>
      </c>
      <c r="C205" s="3"/>
      <c r="D205" s="3" t="s">
        <v>325</v>
      </c>
      <c r="E205" s="5" t="s">
        <v>130</v>
      </c>
      <c r="F205" s="3"/>
      <c r="G205">
        <v>1</v>
      </c>
      <c r="H205">
        <v>0</v>
      </c>
      <c r="I205">
        <v>1</v>
      </c>
      <c r="L205">
        <f t="shared" si="3"/>
        <v>1</v>
      </c>
    </row>
    <row r="206" spans="1:12" x14ac:dyDescent="0.25">
      <c r="A206" s="3">
        <v>205</v>
      </c>
      <c r="B206" s="3" t="s">
        <v>478</v>
      </c>
      <c r="C206" s="3"/>
      <c r="D206" s="3" t="s">
        <v>325</v>
      </c>
      <c r="E206" s="5" t="s">
        <v>130</v>
      </c>
      <c r="F206" s="3"/>
      <c r="G206">
        <v>1</v>
      </c>
      <c r="H206">
        <v>0</v>
      </c>
      <c r="I206">
        <v>1</v>
      </c>
      <c r="L206">
        <f t="shared" si="3"/>
        <v>1</v>
      </c>
    </row>
    <row r="207" spans="1:12" x14ac:dyDescent="0.25">
      <c r="A207" s="3">
        <v>206</v>
      </c>
      <c r="B207" s="3" t="s">
        <v>479</v>
      </c>
      <c r="C207" s="3"/>
      <c r="D207" s="3" t="s">
        <v>325</v>
      </c>
      <c r="E207" s="5" t="s">
        <v>130</v>
      </c>
      <c r="F207" s="3"/>
      <c r="G207">
        <v>1</v>
      </c>
      <c r="H207">
        <v>0</v>
      </c>
      <c r="I207">
        <v>1</v>
      </c>
      <c r="L207">
        <f t="shared" si="3"/>
        <v>1</v>
      </c>
    </row>
    <row r="208" spans="1:12" ht="30" x14ac:dyDescent="0.25">
      <c r="A208" s="3">
        <v>207</v>
      </c>
      <c r="B208" s="3" t="s">
        <v>480</v>
      </c>
      <c r="C208" s="3"/>
      <c r="D208" s="3" t="s">
        <v>325</v>
      </c>
      <c r="E208" s="5" t="s">
        <v>130</v>
      </c>
      <c r="F208" s="3"/>
      <c r="G208">
        <v>1</v>
      </c>
      <c r="H208">
        <v>0</v>
      </c>
      <c r="I208">
        <v>1</v>
      </c>
      <c r="L208">
        <f t="shared" si="3"/>
        <v>1</v>
      </c>
    </row>
    <row r="209" spans="1:12" ht="30" x14ac:dyDescent="0.25">
      <c r="A209" s="3">
        <v>208</v>
      </c>
      <c r="B209" s="3" t="s">
        <v>481</v>
      </c>
      <c r="C209" s="3"/>
      <c r="D209" s="3" t="s">
        <v>325</v>
      </c>
      <c r="E209" s="5" t="s">
        <v>130</v>
      </c>
      <c r="F209" s="3"/>
      <c r="G209">
        <v>1</v>
      </c>
      <c r="H209">
        <v>0</v>
      </c>
      <c r="I209">
        <v>1</v>
      </c>
      <c r="L209">
        <f t="shared" si="3"/>
        <v>1</v>
      </c>
    </row>
    <row r="210" spans="1:12" x14ac:dyDescent="0.25">
      <c r="A210" s="3">
        <v>209</v>
      </c>
      <c r="B210" s="3" t="s">
        <v>482</v>
      </c>
      <c r="C210" s="3"/>
      <c r="D210" s="3" t="s">
        <v>325</v>
      </c>
      <c r="E210" s="5" t="s">
        <v>130</v>
      </c>
      <c r="F210" s="3"/>
      <c r="G210">
        <v>1</v>
      </c>
      <c r="H210">
        <v>0</v>
      </c>
      <c r="I210">
        <v>1</v>
      </c>
      <c r="L210">
        <f t="shared" si="3"/>
        <v>1</v>
      </c>
    </row>
    <row r="211" spans="1:12" x14ac:dyDescent="0.25">
      <c r="A211" s="3">
        <v>210</v>
      </c>
      <c r="B211" s="3" t="s">
        <v>483</v>
      </c>
      <c r="C211" s="3"/>
      <c r="D211" s="3" t="s">
        <v>325</v>
      </c>
      <c r="E211" s="5" t="s">
        <v>130</v>
      </c>
      <c r="F211" s="3"/>
      <c r="G211">
        <v>1</v>
      </c>
      <c r="H211">
        <v>0</v>
      </c>
      <c r="I211">
        <v>1</v>
      </c>
      <c r="L211">
        <f t="shared" si="3"/>
        <v>1</v>
      </c>
    </row>
    <row r="212" spans="1:12" x14ac:dyDescent="0.25">
      <c r="A212" s="3">
        <v>211</v>
      </c>
      <c r="B212" s="3" t="s">
        <v>484</v>
      </c>
      <c r="C212" s="3"/>
      <c r="D212" s="3" t="s">
        <v>325</v>
      </c>
      <c r="E212" s="5" t="s">
        <v>130</v>
      </c>
      <c r="F212" s="3"/>
      <c r="G212">
        <v>1</v>
      </c>
      <c r="H212">
        <v>0</v>
      </c>
      <c r="I212">
        <v>1</v>
      </c>
      <c r="L212">
        <f t="shared" si="3"/>
        <v>1</v>
      </c>
    </row>
    <row r="213" spans="1:12" ht="30" x14ac:dyDescent="0.25">
      <c r="A213" s="3">
        <v>212</v>
      </c>
      <c r="B213" s="3" t="s">
        <v>485</v>
      </c>
      <c r="C213" s="3"/>
      <c r="D213" s="3" t="s">
        <v>348</v>
      </c>
      <c r="E213" s="5" t="s">
        <v>130</v>
      </c>
      <c r="F213" s="3"/>
      <c r="G213">
        <v>1</v>
      </c>
      <c r="H213">
        <v>0</v>
      </c>
      <c r="I213">
        <v>1</v>
      </c>
      <c r="L213">
        <f t="shared" si="3"/>
        <v>1</v>
      </c>
    </row>
    <row r="214" spans="1:12" x14ac:dyDescent="0.25">
      <c r="A214" s="3">
        <v>213</v>
      </c>
      <c r="B214" s="3" t="s">
        <v>486</v>
      </c>
      <c r="C214" s="3"/>
      <c r="D214" s="3" t="s">
        <v>325</v>
      </c>
      <c r="E214" s="5" t="s">
        <v>130</v>
      </c>
      <c r="F214" s="3"/>
      <c r="G214">
        <v>1</v>
      </c>
      <c r="H214">
        <v>0</v>
      </c>
      <c r="I214">
        <v>1</v>
      </c>
      <c r="L214">
        <f t="shared" si="3"/>
        <v>1</v>
      </c>
    </row>
    <row r="215" spans="1:12" ht="45" x14ac:dyDescent="0.25">
      <c r="A215" s="3">
        <v>214</v>
      </c>
      <c r="B215" s="3" t="s">
        <v>487</v>
      </c>
      <c r="C215" s="3" t="s">
        <v>488</v>
      </c>
      <c r="D215" s="3" t="s">
        <v>489</v>
      </c>
      <c r="E215" s="5" t="s">
        <v>130</v>
      </c>
      <c r="F215" s="3" t="s">
        <v>490</v>
      </c>
      <c r="G215">
        <v>1</v>
      </c>
      <c r="H215">
        <v>0</v>
      </c>
      <c r="I215">
        <v>1</v>
      </c>
      <c r="L215">
        <f t="shared" si="3"/>
        <v>1</v>
      </c>
    </row>
    <row r="216" spans="1:12" x14ac:dyDescent="0.25">
      <c r="A216" s="3">
        <v>215</v>
      </c>
      <c r="B216" s="3" t="s">
        <v>616</v>
      </c>
      <c r="C216" s="3" t="s">
        <v>617</v>
      </c>
      <c r="D216" s="3" t="s">
        <v>573</v>
      </c>
      <c r="E216" s="5" t="s">
        <v>130</v>
      </c>
      <c r="F216" s="3" t="s">
        <v>618</v>
      </c>
      <c r="G216">
        <v>1</v>
      </c>
      <c r="H216">
        <v>0</v>
      </c>
      <c r="I216">
        <v>1</v>
      </c>
      <c r="L216">
        <f t="shared" si="3"/>
        <v>1</v>
      </c>
    </row>
    <row r="217" spans="1:12" ht="45" x14ac:dyDescent="0.25">
      <c r="A217" s="3">
        <v>216</v>
      </c>
      <c r="B217" s="3" t="s">
        <v>616</v>
      </c>
      <c r="C217" s="3" t="s">
        <v>617</v>
      </c>
      <c r="D217" s="3" t="s">
        <v>530</v>
      </c>
      <c r="E217" s="5" t="s">
        <v>130</v>
      </c>
      <c r="F217" s="3" t="s">
        <v>618</v>
      </c>
      <c r="G217">
        <v>0</v>
      </c>
      <c r="H217">
        <v>0</v>
      </c>
      <c r="I217">
        <v>1</v>
      </c>
      <c r="L217">
        <f t="shared" si="3"/>
        <v>0</v>
      </c>
    </row>
    <row r="218" spans="1:12" x14ac:dyDescent="0.25">
      <c r="A218" s="3">
        <v>217</v>
      </c>
      <c r="B218" s="1" t="s">
        <v>629</v>
      </c>
      <c r="C218" s="3"/>
      <c r="D218" s="3" t="s">
        <v>435</v>
      </c>
      <c r="E218" s="5" t="s">
        <v>130</v>
      </c>
      <c r="F218" s="3" t="s">
        <v>491</v>
      </c>
      <c r="G218">
        <v>1</v>
      </c>
      <c r="H218">
        <v>0</v>
      </c>
      <c r="I218">
        <v>1</v>
      </c>
      <c r="L218">
        <f t="shared" si="3"/>
        <v>1</v>
      </c>
    </row>
    <row r="219" spans="1:12" x14ac:dyDescent="0.25">
      <c r="A219" s="3">
        <v>218</v>
      </c>
      <c r="B219" s="3" t="s">
        <v>492</v>
      </c>
      <c r="C219" s="3"/>
      <c r="D219" s="3"/>
      <c r="E219" s="5" t="s">
        <v>130</v>
      </c>
      <c r="F219" s="3" t="s">
        <v>493</v>
      </c>
      <c r="G219">
        <v>1</v>
      </c>
      <c r="H219">
        <v>0</v>
      </c>
      <c r="I219">
        <v>1</v>
      </c>
      <c r="L219">
        <f t="shared" si="3"/>
        <v>1</v>
      </c>
    </row>
    <row r="220" spans="1:12" ht="30" x14ac:dyDescent="0.25">
      <c r="A220" s="3">
        <v>219</v>
      </c>
      <c r="B220" s="3" t="s">
        <v>494</v>
      </c>
      <c r="C220" s="3"/>
      <c r="D220" s="3" t="s">
        <v>495</v>
      </c>
      <c r="E220" s="5" t="s">
        <v>130</v>
      </c>
      <c r="F220" s="3" t="s">
        <v>496</v>
      </c>
      <c r="G220">
        <v>1</v>
      </c>
      <c r="H220">
        <v>0</v>
      </c>
      <c r="I220">
        <v>1</v>
      </c>
      <c r="L220">
        <f t="shared" si="3"/>
        <v>1</v>
      </c>
    </row>
    <row r="221" spans="1:12" ht="45" x14ac:dyDescent="0.25">
      <c r="A221" s="3">
        <v>220</v>
      </c>
      <c r="B221" s="3" t="s">
        <v>497</v>
      </c>
      <c r="C221" s="3" t="s">
        <v>498</v>
      </c>
      <c r="D221" s="3" t="s">
        <v>499</v>
      </c>
      <c r="E221" s="5" t="s">
        <v>130</v>
      </c>
      <c r="F221" s="3" t="s">
        <v>500</v>
      </c>
      <c r="G221">
        <v>1</v>
      </c>
      <c r="H221">
        <v>0</v>
      </c>
      <c r="I221">
        <v>1</v>
      </c>
      <c r="J221">
        <v>1</v>
      </c>
      <c r="L221">
        <f t="shared" si="3"/>
        <v>1</v>
      </c>
    </row>
    <row r="222" spans="1:12" ht="30" x14ac:dyDescent="0.25">
      <c r="A222" s="3">
        <v>221</v>
      </c>
      <c r="B222" s="3" t="s">
        <v>501</v>
      </c>
      <c r="C222" s="3"/>
      <c r="D222" s="3" t="s">
        <v>145</v>
      </c>
      <c r="E222" s="5" t="s">
        <v>130</v>
      </c>
      <c r="F222" s="3" t="s">
        <v>502</v>
      </c>
      <c r="G222">
        <v>1</v>
      </c>
      <c r="H222">
        <v>0</v>
      </c>
      <c r="I222">
        <v>1</v>
      </c>
      <c r="L222">
        <f t="shared" si="3"/>
        <v>1</v>
      </c>
    </row>
    <row r="223" spans="1:12" ht="30" x14ac:dyDescent="0.25">
      <c r="A223" s="3">
        <v>222</v>
      </c>
      <c r="B223" s="3" t="s">
        <v>503</v>
      </c>
      <c r="C223" s="3"/>
      <c r="D223" s="3" t="s">
        <v>504</v>
      </c>
      <c r="E223" s="5" t="s">
        <v>130</v>
      </c>
      <c r="F223" s="3" t="s">
        <v>505</v>
      </c>
      <c r="G223">
        <v>1</v>
      </c>
      <c r="H223">
        <v>0</v>
      </c>
      <c r="I223">
        <v>1</v>
      </c>
      <c r="L223">
        <f t="shared" si="3"/>
        <v>1</v>
      </c>
    </row>
    <row r="224" spans="1:12" ht="30" x14ac:dyDescent="0.25">
      <c r="A224" s="3">
        <v>223</v>
      </c>
      <c r="B224" s="3" t="s">
        <v>506</v>
      </c>
      <c r="C224" s="3" t="s">
        <v>264</v>
      </c>
      <c r="D224" s="3" t="s">
        <v>264</v>
      </c>
      <c r="E224" s="5" t="s">
        <v>130</v>
      </c>
      <c r="F224" s="3" t="s">
        <v>266</v>
      </c>
      <c r="G224">
        <v>1</v>
      </c>
      <c r="H224">
        <v>0</v>
      </c>
      <c r="I224">
        <v>1</v>
      </c>
      <c r="L224">
        <f t="shared" si="3"/>
        <v>1</v>
      </c>
    </row>
    <row r="225" spans="1:12" ht="30" x14ac:dyDescent="0.25">
      <c r="A225" s="3">
        <v>224</v>
      </c>
      <c r="B225" s="3" t="s">
        <v>507</v>
      </c>
      <c r="C225" s="3" t="s">
        <v>264</v>
      </c>
      <c r="D225" s="3" t="s">
        <v>264</v>
      </c>
      <c r="E225" s="5" t="s">
        <v>130</v>
      </c>
      <c r="F225" s="3" t="s">
        <v>508</v>
      </c>
      <c r="G225">
        <v>1</v>
      </c>
      <c r="H225">
        <v>0</v>
      </c>
      <c r="I225">
        <v>1</v>
      </c>
      <c r="L225">
        <f t="shared" si="3"/>
        <v>1</v>
      </c>
    </row>
    <row r="226" spans="1:12" x14ac:dyDescent="0.25">
      <c r="A226" s="3">
        <v>225</v>
      </c>
      <c r="B226" s="3" t="s">
        <v>509</v>
      </c>
      <c r="C226" s="3" t="s">
        <v>510</v>
      </c>
      <c r="D226" s="3"/>
      <c r="E226" s="5" t="s">
        <v>130</v>
      </c>
      <c r="F226" s="3" t="s">
        <v>511</v>
      </c>
      <c r="G226">
        <v>1</v>
      </c>
      <c r="H226">
        <v>0</v>
      </c>
      <c r="I226">
        <v>1</v>
      </c>
      <c r="L226">
        <f t="shared" si="3"/>
        <v>1</v>
      </c>
    </row>
    <row r="227" spans="1:12" ht="30" x14ac:dyDescent="0.25">
      <c r="A227" s="3">
        <v>226</v>
      </c>
      <c r="B227" s="3" t="s">
        <v>512</v>
      </c>
      <c r="C227" s="3" t="s">
        <v>513</v>
      </c>
      <c r="D227" s="3" t="s">
        <v>514</v>
      </c>
      <c r="E227" s="5" t="s">
        <v>130</v>
      </c>
      <c r="F227" s="3" t="s">
        <v>515</v>
      </c>
      <c r="G227">
        <v>1</v>
      </c>
      <c r="H227">
        <v>0</v>
      </c>
      <c r="I227">
        <v>1</v>
      </c>
      <c r="L227">
        <f t="shared" si="3"/>
        <v>1</v>
      </c>
    </row>
    <row r="228" spans="1:12" x14ac:dyDescent="0.25">
      <c r="A228" s="3">
        <v>227</v>
      </c>
      <c r="B228" s="3" t="s">
        <v>516</v>
      </c>
      <c r="C228" s="3"/>
      <c r="D228" s="3" t="s">
        <v>325</v>
      </c>
      <c r="E228" s="5" t="s">
        <v>130</v>
      </c>
      <c r="F228" s="3"/>
      <c r="G228">
        <v>1</v>
      </c>
      <c r="H228">
        <v>0</v>
      </c>
      <c r="I228">
        <v>1</v>
      </c>
      <c r="L228">
        <f t="shared" si="3"/>
        <v>1</v>
      </c>
    </row>
    <row r="229" spans="1:12" ht="30" x14ac:dyDescent="0.25">
      <c r="A229" s="3">
        <v>228</v>
      </c>
      <c r="B229" s="3" t="s">
        <v>517</v>
      </c>
      <c r="C229" s="3" t="s">
        <v>373</v>
      </c>
      <c r="D229" s="3" t="s">
        <v>412</v>
      </c>
      <c r="E229" s="5" t="s">
        <v>130</v>
      </c>
      <c r="F229" s="3" t="s">
        <v>518</v>
      </c>
      <c r="G229">
        <v>1</v>
      </c>
      <c r="H229">
        <v>0</v>
      </c>
      <c r="I229">
        <v>1</v>
      </c>
      <c r="L229">
        <f t="shared" si="3"/>
        <v>1</v>
      </c>
    </row>
    <row r="230" spans="1:12" ht="30" x14ac:dyDescent="0.25">
      <c r="A230" s="3">
        <v>229</v>
      </c>
      <c r="B230" s="3" t="s">
        <v>519</v>
      </c>
      <c r="C230" s="3" t="s">
        <v>520</v>
      </c>
      <c r="D230" s="3" t="s">
        <v>145</v>
      </c>
      <c r="E230" s="5" t="s">
        <v>130</v>
      </c>
      <c r="F230" s="3" t="s">
        <v>521</v>
      </c>
      <c r="G230">
        <v>1</v>
      </c>
      <c r="H230">
        <v>1</v>
      </c>
      <c r="I230">
        <v>1</v>
      </c>
      <c r="L230">
        <f t="shared" si="3"/>
        <v>0</v>
      </c>
    </row>
    <row r="231" spans="1:12" x14ac:dyDescent="0.25">
      <c r="A231" s="3">
        <v>230</v>
      </c>
      <c r="B231" s="3" t="s">
        <v>522</v>
      </c>
      <c r="C231" s="3" t="s">
        <v>523</v>
      </c>
      <c r="D231" s="3" t="s">
        <v>523</v>
      </c>
      <c r="E231" s="5" t="s">
        <v>130</v>
      </c>
      <c r="F231" s="3" t="s">
        <v>511</v>
      </c>
      <c r="G231">
        <v>0</v>
      </c>
      <c r="H231">
        <v>1</v>
      </c>
      <c r="I231">
        <v>1</v>
      </c>
      <c r="L231">
        <f t="shared" si="3"/>
        <v>0</v>
      </c>
    </row>
    <row r="232" spans="1:12" ht="45" x14ac:dyDescent="0.25">
      <c r="A232" s="3">
        <v>231</v>
      </c>
      <c r="B232" s="3" t="s">
        <v>524</v>
      </c>
      <c r="C232" s="3" t="s">
        <v>525</v>
      </c>
      <c r="D232" s="3" t="s">
        <v>526</v>
      </c>
      <c r="E232" s="5" t="s">
        <v>130</v>
      </c>
      <c r="F232" s="3" t="s">
        <v>527</v>
      </c>
      <c r="G232">
        <v>1</v>
      </c>
      <c r="H232">
        <v>0</v>
      </c>
      <c r="I232">
        <v>1</v>
      </c>
      <c r="J232">
        <v>1</v>
      </c>
      <c r="L232">
        <f t="shared" si="3"/>
        <v>1</v>
      </c>
    </row>
    <row r="233" spans="1:12" ht="45" x14ac:dyDescent="0.25">
      <c r="A233" s="3">
        <v>232</v>
      </c>
      <c r="B233" s="3" t="s">
        <v>528</v>
      </c>
      <c r="C233" s="3" t="s">
        <v>529</v>
      </c>
      <c r="D233" s="3" t="s">
        <v>530</v>
      </c>
      <c r="E233" s="5" t="s">
        <v>130</v>
      </c>
      <c r="F233" s="3" t="s">
        <v>531</v>
      </c>
      <c r="G233">
        <v>1</v>
      </c>
      <c r="H233">
        <v>0</v>
      </c>
      <c r="I233">
        <v>1</v>
      </c>
      <c r="J233">
        <v>1</v>
      </c>
      <c r="L233">
        <f t="shared" si="3"/>
        <v>1</v>
      </c>
    </row>
    <row r="234" spans="1:12" ht="45" x14ac:dyDescent="0.25">
      <c r="A234" s="3">
        <v>233</v>
      </c>
      <c r="B234" s="3" t="s">
        <v>532</v>
      </c>
      <c r="C234" s="3" t="s">
        <v>373</v>
      </c>
      <c r="D234" s="3" t="s">
        <v>533</v>
      </c>
      <c r="E234" s="5" t="s">
        <v>130</v>
      </c>
      <c r="F234" s="3" t="s">
        <v>534</v>
      </c>
      <c r="G234">
        <v>1</v>
      </c>
      <c r="H234">
        <v>0</v>
      </c>
      <c r="I234">
        <v>1</v>
      </c>
      <c r="L234">
        <f t="shared" si="3"/>
        <v>1</v>
      </c>
    </row>
    <row r="235" spans="1:12" ht="45" x14ac:dyDescent="0.25">
      <c r="A235" s="3">
        <v>234</v>
      </c>
      <c r="B235" s="3" t="s">
        <v>535</v>
      </c>
      <c r="C235" s="3" t="s">
        <v>536</v>
      </c>
      <c r="D235" s="3" t="s">
        <v>526</v>
      </c>
      <c r="E235" s="5" t="s">
        <v>130</v>
      </c>
      <c r="F235" s="3" t="s">
        <v>537</v>
      </c>
      <c r="G235">
        <v>1</v>
      </c>
      <c r="H235">
        <v>0</v>
      </c>
      <c r="I235">
        <v>1</v>
      </c>
      <c r="J235">
        <v>1</v>
      </c>
      <c r="L235">
        <f t="shared" si="3"/>
        <v>1</v>
      </c>
    </row>
    <row r="236" spans="1:12" ht="30" x14ac:dyDescent="0.25">
      <c r="A236" s="3">
        <v>235</v>
      </c>
      <c r="B236" s="3" t="s">
        <v>538</v>
      </c>
      <c r="C236" s="3"/>
      <c r="D236" s="3" t="s">
        <v>514</v>
      </c>
      <c r="E236" s="5" t="s">
        <v>130</v>
      </c>
      <c r="F236" s="3" t="s">
        <v>539</v>
      </c>
      <c r="G236">
        <v>1</v>
      </c>
      <c r="H236">
        <v>0</v>
      </c>
      <c r="I236">
        <v>1</v>
      </c>
      <c r="L236">
        <f t="shared" si="3"/>
        <v>1</v>
      </c>
    </row>
    <row r="237" spans="1:12" x14ac:dyDescent="0.25">
      <c r="A237" s="3">
        <v>236</v>
      </c>
      <c r="B237" s="3" t="s">
        <v>634</v>
      </c>
      <c r="C237" s="3" t="s">
        <v>514</v>
      </c>
      <c r="D237" s="3" t="s">
        <v>325</v>
      </c>
      <c r="E237" s="5" t="s">
        <v>130</v>
      </c>
      <c r="F237" s="3" t="s">
        <v>635</v>
      </c>
      <c r="G237">
        <v>1</v>
      </c>
      <c r="H237">
        <v>0</v>
      </c>
      <c r="I237">
        <v>1</v>
      </c>
      <c r="L237">
        <f t="shared" si="3"/>
        <v>1</v>
      </c>
    </row>
    <row r="238" spans="1:12" x14ac:dyDescent="0.25">
      <c r="A238" s="3">
        <v>237</v>
      </c>
      <c r="B238" s="3" t="s">
        <v>634</v>
      </c>
      <c r="C238" s="3" t="s">
        <v>514</v>
      </c>
      <c r="D238" s="3" t="s">
        <v>325</v>
      </c>
      <c r="E238" s="5" t="s">
        <v>130</v>
      </c>
      <c r="F238" s="3"/>
      <c r="G238">
        <v>1</v>
      </c>
      <c r="H238">
        <v>0</v>
      </c>
      <c r="I238">
        <v>1</v>
      </c>
      <c r="L238">
        <f t="shared" si="3"/>
        <v>1</v>
      </c>
    </row>
    <row r="239" spans="1:12" ht="30" x14ac:dyDescent="0.25">
      <c r="A239" s="3">
        <v>238</v>
      </c>
      <c r="B239" s="3" t="s">
        <v>540</v>
      </c>
      <c r="C239" s="3"/>
      <c r="D239" s="3" t="s">
        <v>540</v>
      </c>
      <c r="E239" s="5" t="s">
        <v>130</v>
      </c>
      <c r="F239" s="3"/>
      <c r="G239">
        <v>1</v>
      </c>
      <c r="H239">
        <v>0</v>
      </c>
      <c r="I239">
        <v>1</v>
      </c>
      <c r="L239">
        <f t="shared" si="3"/>
        <v>1</v>
      </c>
    </row>
    <row r="240" spans="1:12" x14ac:dyDescent="0.25">
      <c r="A240" s="3">
        <v>239</v>
      </c>
      <c r="B240" s="3" t="s">
        <v>541</v>
      </c>
      <c r="C240" s="3"/>
      <c r="D240" s="3"/>
      <c r="E240" s="5" t="s">
        <v>130</v>
      </c>
      <c r="F240" s="3" t="s">
        <v>542</v>
      </c>
      <c r="G240">
        <v>1</v>
      </c>
      <c r="H240">
        <v>0</v>
      </c>
      <c r="I240">
        <v>1</v>
      </c>
      <c r="L240">
        <f t="shared" si="3"/>
        <v>1</v>
      </c>
    </row>
    <row r="241" spans="1:12" x14ac:dyDescent="0.25">
      <c r="A241" s="3">
        <v>240</v>
      </c>
      <c r="B241" s="3" t="s">
        <v>364</v>
      </c>
      <c r="C241" s="3"/>
      <c r="D241" s="3"/>
      <c r="E241" s="5" t="s">
        <v>130</v>
      </c>
      <c r="F241" s="3" t="s">
        <v>543</v>
      </c>
      <c r="G241">
        <v>1</v>
      </c>
      <c r="H241">
        <v>0</v>
      </c>
      <c r="I241">
        <v>1</v>
      </c>
      <c r="L241">
        <f t="shared" si="3"/>
        <v>1</v>
      </c>
    </row>
    <row r="242" spans="1:12" x14ac:dyDescent="0.25">
      <c r="A242" s="3">
        <v>241</v>
      </c>
      <c r="B242" s="3" t="s">
        <v>544</v>
      </c>
      <c r="C242" s="3"/>
      <c r="D242" s="3" t="s">
        <v>325</v>
      </c>
      <c r="E242" s="5" t="s">
        <v>130</v>
      </c>
      <c r="F242" s="3"/>
      <c r="G242">
        <v>1</v>
      </c>
      <c r="H242">
        <v>0</v>
      </c>
      <c r="I242">
        <v>1</v>
      </c>
      <c r="L242">
        <f t="shared" si="3"/>
        <v>1</v>
      </c>
    </row>
    <row r="243" spans="1:12" x14ac:dyDescent="0.25">
      <c r="A243" s="3">
        <v>242</v>
      </c>
      <c r="B243" s="3" t="s">
        <v>545</v>
      </c>
      <c r="C243" s="3"/>
      <c r="D243" s="3"/>
      <c r="E243" s="5" t="s">
        <v>130</v>
      </c>
      <c r="F243" s="3"/>
      <c r="G243">
        <v>1</v>
      </c>
      <c r="H243">
        <v>0</v>
      </c>
      <c r="I243">
        <v>1</v>
      </c>
      <c r="L243">
        <f t="shared" si="3"/>
        <v>1</v>
      </c>
    </row>
    <row r="244" spans="1:12" x14ac:dyDescent="0.25">
      <c r="A244" s="3">
        <v>243</v>
      </c>
      <c r="B244" s="3" t="s">
        <v>546</v>
      </c>
      <c r="C244" s="3"/>
      <c r="D244" s="3"/>
      <c r="E244" s="5" t="s">
        <v>130</v>
      </c>
      <c r="F244" s="3"/>
      <c r="G244">
        <v>0</v>
      </c>
      <c r="H244">
        <v>1</v>
      </c>
      <c r="I244">
        <v>1</v>
      </c>
      <c r="L244">
        <f t="shared" si="3"/>
        <v>0</v>
      </c>
    </row>
    <row r="245" spans="1:12" x14ac:dyDescent="0.25">
      <c r="A245" s="3">
        <v>244</v>
      </c>
      <c r="B245" s="3" t="s">
        <v>547</v>
      </c>
      <c r="C245" s="3"/>
      <c r="D245" s="3" t="s">
        <v>548</v>
      </c>
      <c r="E245" s="5" t="s">
        <v>130</v>
      </c>
      <c r="F245" s="3"/>
      <c r="G245">
        <v>1</v>
      </c>
      <c r="H245">
        <v>0</v>
      </c>
      <c r="I245">
        <v>1</v>
      </c>
      <c r="L245">
        <f t="shared" si="3"/>
        <v>1</v>
      </c>
    </row>
    <row r="246" spans="1:12" x14ac:dyDescent="0.25">
      <c r="A246" s="3">
        <v>245</v>
      </c>
      <c r="B246" s="3" t="s">
        <v>549</v>
      </c>
      <c r="C246" s="3" t="s">
        <v>550</v>
      </c>
      <c r="D246" s="3"/>
      <c r="E246" s="5" t="s">
        <v>130</v>
      </c>
      <c r="F246" s="3" t="s">
        <v>551</v>
      </c>
      <c r="G246">
        <v>1</v>
      </c>
      <c r="H246">
        <v>0</v>
      </c>
      <c r="I246">
        <v>1</v>
      </c>
      <c r="L246">
        <f t="shared" si="3"/>
        <v>1</v>
      </c>
    </row>
    <row r="247" spans="1:12" x14ac:dyDescent="0.25">
      <c r="A247" s="3">
        <v>246</v>
      </c>
      <c r="B247" s="3" t="s">
        <v>552</v>
      </c>
      <c r="C247" s="3" t="s">
        <v>553</v>
      </c>
      <c r="D247" s="3" t="s">
        <v>378</v>
      </c>
      <c r="E247" s="5" t="s">
        <v>130</v>
      </c>
      <c r="F247" s="3" t="s">
        <v>554</v>
      </c>
      <c r="G247">
        <v>1</v>
      </c>
      <c r="H247">
        <v>1</v>
      </c>
      <c r="I247">
        <v>1</v>
      </c>
      <c r="L247">
        <f t="shared" si="3"/>
        <v>0</v>
      </c>
    </row>
    <row r="248" spans="1:12" ht="30" x14ac:dyDescent="0.25">
      <c r="A248" s="3">
        <v>247</v>
      </c>
      <c r="B248" s="3" t="s">
        <v>555</v>
      </c>
      <c r="C248" s="3" t="s">
        <v>556</v>
      </c>
      <c r="D248" s="3" t="s">
        <v>557</v>
      </c>
      <c r="E248" s="5" t="s">
        <v>130</v>
      </c>
      <c r="F248" s="3" t="s">
        <v>558</v>
      </c>
      <c r="G248">
        <v>0</v>
      </c>
      <c r="H248">
        <v>1</v>
      </c>
      <c r="I248">
        <v>1</v>
      </c>
      <c r="L248">
        <f t="shared" si="3"/>
        <v>0</v>
      </c>
    </row>
    <row r="249" spans="1:12" ht="45" x14ac:dyDescent="0.25">
      <c r="A249" s="3">
        <v>248</v>
      </c>
      <c r="B249" s="3" t="s">
        <v>559</v>
      </c>
      <c r="C249" s="3"/>
      <c r="D249" s="3" t="s">
        <v>560</v>
      </c>
      <c r="E249" s="5" t="s">
        <v>130</v>
      </c>
      <c r="F249" s="3" t="s">
        <v>561</v>
      </c>
      <c r="G249">
        <v>1</v>
      </c>
      <c r="H249">
        <v>0</v>
      </c>
      <c r="I249">
        <v>1</v>
      </c>
      <c r="L249">
        <f t="shared" si="3"/>
        <v>1</v>
      </c>
    </row>
    <row r="250" spans="1:12" ht="45" x14ac:dyDescent="0.25">
      <c r="A250" s="3">
        <v>249</v>
      </c>
      <c r="B250" s="3" t="s">
        <v>562</v>
      </c>
      <c r="C250" s="3" t="s">
        <v>563</v>
      </c>
      <c r="D250" s="3" t="s">
        <v>564</v>
      </c>
      <c r="E250" s="5" t="s">
        <v>130</v>
      </c>
      <c r="F250" s="3" t="s">
        <v>565</v>
      </c>
      <c r="G250">
        <v>1</v>
      </c>
      <c r="H250">
        <v>0</v>
      </c>
      <c r="I250">
        <v>1</v>
      </c>
      <c r="L250">
        <f t="shared" si="3"/>
        <v>1</v>
      </c>
    </row>
    <row r="251" spans="1:12" ht="45" x14ac:dyDescent="0.25">
      <c r="A251" s="3">
        <v>250</v>
      </c>
      <c r="B251" s="3" t="s">
        <v>566</v>
      </c>
      <c r="C251" s="3" t="s">
        <v>567</v>
      </c>
      <c r="D251" s="3" t="s">
        <v>342</v>
      </c>
      <c r="E251" s="5" t="s">
        <v>130</v>
      </c>
      <c r="F251" s="3" t="s">
        <v>568</v>
      </c>
      <c r="G251">
        <v>0</v>
      </c>
      <c r="H251">
        <v>0</v>
      </c>
      <c r="I251">
        <v>0</v>
      </c>
      <c r="L251">
        <f t="shared" si="3"/>
        <v>0</v>
      </c>
    </row>
    <row r="252" spans="1:12" ht="45" x14ac:dyDescent="0.25">
      <c r="A252" s="3">
        <v>251</v>
      </c>
      <c r="B252" s="3" t="s">
        <v>569</v>
      </c>
      <c r="C252" s="3" t="s">
        <v>526</v>
      </c>
      <c r="D252" s="3" t="s">
        <v>570</v>
      </c>
      <c r="E252" s="5" t="s">
        <v>130</v>
      </c>
      <c r="F252" s="3" t="s">
        <v>571</v>
      </c>
      <c r="G252">
        <v>1</v>
      </c>
      <c r="H252">
        <v>0</v>
      </c>
      <c r="I252">
        <v>1</v>
      </c>
      <c r="J252">
        <v>1</v>
      </c>
      <c r="L252">
        <f t="shared" si="3"/>
        <v>1</v>
      </c>
    </row>
    <row r="253" spans="1:12" x14ac:dyDescent="0.25">
      <c r="A253" s="3">
        <v>252</v>
      </c>
      <c r="B253" s="3" t="s">
        <v>572</v>
      </c>
      <c r="C253" s="3" t="s">
        <v>573</v>
      </c>
      <c r="D253" s="3"/>
      <c r="E253" s="5" t="s">
        <v>130</v>
      </c>
      <c r="F253" s="3"/>
      <c r="G253">
        <v>1</v>
      </c>
      <c r="H253">
        <v>0</v>
      </c>
      <c r="I253">
        <v>1</v>
      </c>
      <c r="J253">
        <v>1</v>
      </c>
      <c r="L253">
        <f t="shared" si="3"/>
        <v>1</v>
      </c>
    </row>
    <row r="254" spans="1:12" ht="30" x14ac:dyDescent="0.25">
      <c r="A254" s="3">
        <v>253</v>
      </c>
      <c r="B254" s="3" t="s">
        <v>574</v>
      </c>
      <c r="C254" s="3" t="s">
        <v>378</v>
      </c>
      <c r="D254" s="3"/>
      <c r="E254" s="5" t="s">
        <v>130</v>
      </c>
      <c r="F254" s="3"/>
      <c r="G254">
        <v>1</v>
      </c>
      <c r="H254">
        <v>0</v>
      </c>
      <c r="I254">
        <v>1</v>
      </c>
      <c r="L254">
        <f t="shared" si="3"/>
        <v>1</v>
      </c>
    </row>
    <row r="255" spans="1:12" ht="30" x14ac:dyDescent="0.25">
      <c r="A255" s="3">
        <v>254</v>
      </c>
      <c r="B255" s="3" t="s">
        <v>575</v>
      </c>
      <c r="C255" s="3" t="s">
        <v>264</v>
      </c>
      <c r="D255" s="3" t="s">
        <v>264</v>
      </c>
      <c r="E255" s="5" t="s">
        <v>130</v>
      </c>
      <c r="F255" s="3" t="s">
        <v>508</v>
      </c>
      <c r="G255">
        <v>1</v>
      </c>
      <c r="H255">
        <v>0</v>
      </c>
      <c r="I255">
        <v>1</v>
      </c>
      <c r="L255">
        <f t="shared" si="3"/>
        <v>1</v>
      </c>
    </row>
    <row r="256" spans="1:12" ht="30" x14ac:dyDescent="0.25">
      <c r="A256" s="3">
        <v>255</v>
      </c>
      <c r="B256" s="3" t="s">
        <v>576</v>
      </c>
      <c r="C256" s="3" t="s">
        <v>197</v>
      </c>
      <c r="D256" s="3" t="s">
        <v>197</v>
      </c>
      <c r="E256" s="5" t="s">
        <v>130</v>
      </c>
      <c r="F256" s="3" t="s">
        <v>577</v>
      </c>
      <c r="G256">
        <v>0</v>
      </c>
      <c r="H256">
        <v>0</v>
      </c>
      <c r="I256">
        <v>1</v>
      </c>
      <c r="L256">
        <f t="shared" si="3"/>
        <v>0</v>
      </c>
    </row>
    <row r="257" spans="1:12" x14ac:dyDescent="0.25">
      <c r="A257" s="3">
        <v>256</v>
      </c>
      <c r="B257" s="3" t="s">
        <v>578</v>
      </c>
      <c r="C257" s="3" t="s">
        <v>197</v>
      </c>
      <c r="D257" s="3" t="s">
        <v>197</v>
      </c>
      <c r="E257" s="5" t="s">
        <v>130</v>
      </c>
      <c r="F257" s="3"/>
      <c r="G257">
        <v>0</v>
      </c>
      <c r="H257">
        <v>0</v>
      </c>
      <c r="I257">
        <v>1</v>
      </c>
      <c r="L257">
        <f t="shared" si="3"/>
        <v>0</v>
      </c>
    </row>
    <row r="258" spans="1:12" x14ac:dyDescent="0.25">
      <c r="A258" s="3">
        <v>257</v>
      </c>
      <c r="B258" s="3" t="s">
        <v>579</v>
      </c>
      <c r="C258" s="3" t="s">
        <v>580</v>
      </c>
      <c r="D258" s="3" t="s">
        <v>580</v>
      </c>
      <c r="E258" s="5" t="s">
        <v>130</v>
      </c>
      <c r="F258" s="3"/>
      <c r="G258">
        <v>1</v>
      </c>
      <c r="H258">
        <v>0</v>
      </c>
      <c r="I258">
        <v>1</v>
      </c>
      <c r="L258">
        <f t="shared" si="3"/>
        <v>1</v>
      </c>
    </row>
    <row r="259" spans="1:12" x14ac:dyDescent="0.25">
      <c r="A259" s="3">
        <v>258</v>
      </c>
      <c r="B259" s="3" t="s">
        <v>581</v>
      </c>
      <c r="C259" s="3" t="s">
        <v>582</v>
      </c>
      <c r="D259" s="3"/>
      <c r="E259" s="5" t="s">
        <v>130</v>
      </c>
      <c r="F259" s="3"/>
      <c r="G259">
        <v>1</v>
      </c>
      <c r="H259">
        <v>0</v>
      </c>
      <c r="I259">
        <v>1</v>
      </c>
      <c r="L259">
        <f t="shared" ref="L259:L279" si="4">G259*(1-H259)*I259</f>
        <v>1</v>
      </c>
    </row>
    <row r="260" spans="1:12" ht="30" x14ac:dyDescent="0.25">
      <c r="A260" s="3">
        <v>259</v>
      </c>
      <c r="B260" s="3" t="s">
        <v>583</v>
      </c>
      <c r="C260" s="3"/>
      <c r="D260" s="3" t="s">
        <v>378</v>
      </c>
      <c r="E260" s="5" t="s">
        <v>130</v>
      </c>
      <c r="F260" s="3" t="s">
        <v>584</v>
      </c>
      <c r="G260">
        <v>1</v>
      </c>
      <c r="H260">
        <v>0</v>
      </c>
      <c r="I260">
        <v>1</v>
      </c>
      <c r="L260">
        <f t="shared" si="4"/>
        <v>1</v>
      </c>
    </row>
    <row r="261" spans="1:12" ht="45" x14ac:dyDescent="0.25">
      <c r="A261" s="3">
        <v>260</v>
      </c>
      <c r="B261" s="3" t="s">
        <v>585</v>
      </c>
      <c r="C261" s="3" t="s">
        <v>586</v>
      </c>
      <c r="D261" s="3" t="s">
        <v>587</v>
      </c>
      <c r="E261" s="5" t="s">
        <v>130</v>
      </c>
      <c r="F261" s="3" t="s">
        <v>588</v>
      </c>
      <c r="G261">
        <v>1</v>
      </c>
      <c r="H261">
        <v>0</v>
      </c>
      <c r="I261">
        <v>1</v>
      </c>
      <c r="L261">
        <f t="shared" si="4"/>
        <v>1</v>
      </c>
    </row>
    <row r="262" spans="1:12" ht="30" x14ac:dyDescent="0.25">
      <c r="A262" s="3">
        <v>261</v>
      </c>
      <c r="B262" s="3" t="s">
        <v>589</v>
      </c>
      <c r="C262" s="3" t="s">
        <v>590</v>
      </c>
      <c r="D262" s="3"/>
      <c r="E262" s="5" t="s">
        <v>130</v>
      </c>
      <c r="F262" s="3"/>
      <c r="G262">
        <v>1</v>
      </c>
      <c r="H262">
        <v>0</v>
      </c>
      <c r="I262">
        <v>1</v>
      </c>
      <c r="L262">
        <f t="shared" si="4"/>
        <v>1</v>
      </c>
    </row>
    <row r="263" spans="1:12" x14ac:dyDescent="0.25">
      <c r="A263" s="3">
        <v>262</v>
      </c>
      <c r="B263" s="3" t="s">
        <v>591</v>
      </c>
      <c r="C263" s="3"/>
      <c r="D263" s="3" t="s">
        <v>435</v>
      </c>
      <c r="E263" s="5" t="s">
        <v>130</v>
      </c>
      <c r="F263" s="3" t="s">
        <v>592</v>
      </c>
      <c r="G263">
        <v>1</v>
      </c>
      <c r="H263">
        <v>0</v>
      </c>
      <c r="I263">
        <v>1</v>
      </c>
      <c r="L263">
        <f t="shared" si="4"/>
        <v>1</v>
      </c>
    </row>
    <row r="264" spans="1:12" ht="45" x14ac:dyDescent="0.25">
      <c r="A264" s="3">
        <v>263</v>
      </c>
      <c r="B264" s="3" t="s">
        <v>593</v>
      </c>
      <c r="C264" s="3" t="s">
        <v>373</v>
      </c>
      <c r="D264" s="3" t="s">
        <v>373</v>
      </c>
      <c r="E264" s="5" t="s">
        <v>130</v>
      </c>
      <c r="F264" s="3" t="s">
        <v>594</v>
      </c>
      <c r="G264">
        <v>1</v>
      </c>
      <c r="H264">
        <v>0</v>
      </c>
      <c r="I264">
        <v>1</v>
      </c>
      <c r="L264">
        <f t="shared" si="4"/>
        <v>1</v>
      </c>
    </row>
    <row r="265" spans="1:12" ht="30" x14ac:dyDescent="0.25">
      <c r="A265" s="3">
        <v>264</v>
      </c>
      <c r="B265" s="3" t="s">
        <v>595</v>
      </c>
      <c r="C265" s="3"/>
      <c r="D265" s="3" t="s">
        <v>504</v>
      </c>
      <c r="E265" s="5" t="s">
        <v>130</v>
      </c>
      <c r="F265" s="3" t="s">
        <v>596</v>
      </c>
      <c r="G265">
        <v>1</v>
      </c>
      <c r="H265">
        <v>0</v>
      </c>
      <c r="I265">
        <v>1</v>
      </c>
      <c r="L265">
        <f t="shared" si="4"/>
        <v>1</v>
      </c>
    </row>
    <row r="266" spans="1:12" x14ac:dyDescent="0.25">
      <c r="A266" s="3">
        <v>265</v>
      </c>
      <c r="B266" s="3" t="s">
        <v>597</v>
      </c>
      <c r="C266" s="3" t="s">
        <v>425</v>
      </c>
      <c r="D266" s="3" t="s">
        <v>426</v>
      </c>
      <c r="E266" s="5" t="s">
        <v>130</v>
      </c>
      <c r="F266" s="3"/>
      <c r="G266">
        <v>1</v>
      </c>
      <c r="H266">
        <v>0</v>
      </c>
      <c r="I266">
        <v>1</v>
      </c>
      <c r="L266">
        <f t="shared" si="4"/>
        <v>1</v>
      </c>
    </row>
    <row r="267" spans="1:12" ht="45" x14ac:dyDescent="0.25">
      <c r="A267" s="3">
        <v>266</v>
      </c>
      <c r="B267" s="3" t="s">
        <v>598</v>
      </c>
      <c r="C267" s="3" t="s">
        <v>264</v>
      </c>
      <c r="D267" s="3" t="s">
        <v>265</v>
      </c>
      <c r="E267" s="5" t="s">
        <v>130</v>
      </c>
      <c r="F267" s="3" t="s">
        <v>266</v>
      </c>
      <c r="G267">
        <v>1</v>
      </c>
      <c r="H267">
        <v>0</v>
      </c>
      <c r="I267">
        <v>1</v>
      </c>
      <c r="L267">
        <f t="shared" si="4"/>
        <v>1</v>
      </c>
    </row>
    <row r="268" spans="1:12" ht="30" x14ac:dyDescent="0.25">
      <c r="A268" s="3">
        <v>267</v>
      </c>
      <c r="B268" s="3" t="s">
        <v>599</v>
      </c>
      <c r="C268" s="3"/>
      <c r="D268" s="3" t="s">
        <v>325</v>
      </c>
      <c r="E268" s="5" t="s">
        <v>130</v>
      </c>
      <c r="F268" s="3" t="s">
        <v>600</v>
      </c>
      <c r="G268">
        <v>1</v>
      </c>
      <c r="H268">
        <v>0</v>
      </c>
      <c r="I268">
        <v>1</v>
      </c>
      <c r="L268">
        <f t="shared" si="4"/>
        <v>1</v>
      </c>
    </row>
    <row r="269" spans="1:12" ht="30" x14ac:dyDescent="0.25">
      <c r="A269" s="3">
        <v>268</v>
      </c>
      <c r="B269" s="3" t="s">
        <v>601</v>
      </c>
      <c r="C269" s="3" t="s">
        <v>264</v>
      </c>
      <c r="D269" s="3" t="s">
        <v>264</v>
      </c>
      <c r="E269" s="5" t="s">
        <v>130</v>
      </c>
      <c r="F269" s="3" t="s">
        <v>266</v>
      </c>
      <c r="G269">
        <v>1</v>
      </c>
      <c r="H269">
        <v>0</v>
      </c>
      <c r="I269">
        <v>1</v>
      </c>
      <c r="L269">
        <f t="shared" si="4"/>
        <v>1</v>
      </c>
    </row>
    <row r="270" spans="1:12" ht="45" x14ac:dyDescent="0.25">
      <c r="A270" s="3">
        <v>269</v>
      </c>
      <c r="B270" s="3" t="s">
        <v>602</v>
      </c>
      <c r="C270" s="3" t="s">
        <v>373</v>
      </c>
      <c r="D270" s="3" t="s">
        <v>373</v>
      </c>
      <c r="E270" s="5" t="s">
        <v>130</v>
      </c>
      <c r="F270" s="3" t="s">
        <v>603</v>
      </c>
      <c r="G270">
        <v>1</v>
      </c>
      <c r="H270">
        <v>0</v>
      </c>
      <c r="I270">
        <v>1</v>
      </c>
      <c r="L270">
        <f t="shared" si="4"/>
        <v>1</v>
      </c>
    </row>
    <row r="271" spans="1:12" x14ac:dyDescent="0.25">
      <c r="A271" s="3">
        <v>270</v>
      </c>
      <c r="B271" s="3" t="s">
        <v>604</v>
      </c>
      <c r="C271" s="3" t="s">
        <v>510</v>
      </c>
      <c r="D271" s="3"/>
      <c r="E271" s="5" t="s">
        <v>130</v>
      </c>
      <c r="F271" s="3" t="s">
        <v>511</v>
      </c>
      <c r="G271">
        <v>0</v>
      </c>
      <c r="H271">
        <v>1</v>
      </c>
      <c r="I271">
        <v>1</v>
      </c>
      <c r="L271">
        <f t="shared" si="4"/>
        <v>0</v>
      </c>
    </row>
    <row r="272" spans="1:12" ht="30" x14ac:dyDescent="0.25">
      <c r="A272" s="3">
        <v>271</v>
      </c>
      <c r="B272" s="3" t="s">
        <v>605</v>
      </c>
      <c r="C272" s="3" t="s">
        <v>264</v>
      </c>
      <c r="D272" s="3" t="s">
        <v>264</v>
      </c>
      <c r="E272" s="5" t="s">
        <v>130</v>
      </c>
      <c r="F272" s="3" t="s">
        <v>508</v>
      </c>
      <c r="G272">
        <v>1</v>
      </c>
      <c r="H272">
        <v>0</v>
      </c>
      <c r="I272">
        <v>1</v>
      </c>
      <c r="L272">
        <f t="shared" si="4"/>
        <v>1</v>
      </c>
    </row>
    <row r="273" spans="1:12" x14ac:dyDescent="0.25">
      <c r="A273" s="3">
        <v>272</v>
      </c>
      <c r="B273" s="3" t="s">
        <v>606</v>
      </c>
      <c r="C273" s="3"/>
      <c r="D273" s="3"/>
      <c r="E273" s="5" t="s">
        <v>130</v>
      </c>
      <c r="F273" s="3" t="s">
        <v>607</v>
      </c>
      <c r="G273">
        <v>1</v>
      </c>
      <c r="H273">
        <v>0</v>
      </c>
      <c r="I273">
        <v>1</v>
      </c>
      <c r="L273">
        <f t="shared" si="4"/>
        <v>1</v>
      </c>
    </row>
    <row r="274" spans="1:12" ht="30" x14ac:dyDescent="0.25">
      <c r="A274" s="3">
        <v>273</v>
      </c>
      <c r="B274" s="3" t="s">
        <v>608</v>
      </c>
      <c r="C274" s="3" t="s">
        <v>489</v>
      </c>
      <c r="D274" s="3" t="s">
        <v>489</v>
      </c>
      <c r="E274" s="5" t="s">
        <v>130</v>
      </c>
      <c r="F274" s="3" t="s">
        <v>609</v>
      </c>
      <c r="G274">
        <v>0</v>
      </c>
      <c r="H274">
        <v>1</v>
      </c>
      <c r="I274">
        <v>1</v>
      </c>
      <c r="L274">
        <f t="shared" si="4"/>
        <v>0</v>
      </c>
    </row>
    <row r="275" spans="1:12" x14ac:dyDescent="0.25">
      <c r="A275" s="3">
        <v>274</v>
      </c>
      <c r="B275" s="3" t="s">
        <v>610</v>
      </c>
      <c r="C275" s="3" t="s">
        <v>197</v>
      </c>
      <c r="D275" s="3" t="s">
        <v>197</v>
      </c>
      <c r="E275" s="5" t="s">
        <v>130</v>
      </c>
      <c r="F275" s="3"/>
      <c r="G275">
        <v>1</v>
      </c>
      <c r="H275">
        <v>0</v>
      </c>
      <c r="I275">
        <v>1</v>
      </c>
      <c r="L275">
        <f t="shared" si="4"/>
        <v>1</v>
      </c>
    </row>
    <row r="276" spans="1:12" x14ac:dyDescent="0.25">
      <c r="A276" s="3">
        <v>275</v>
      </c>
      <c r="B276" s="3" t="s">
        <v>611</v>
      </c>
      <c r="C276" s="3"/>
      <c r="D276" s="3" t="s">
        <v>325</v>
      </c>
      <c r="E276" s="5" t="s">
        <v>130</v>
      </c>
      <c r="F276" s="3"/>
      <c r="G276">
        <v>1</v>
      </c>
      <c r="H276">
        <v>0</v>
      </c>
      <c r="I276">
        <v>1</v>
      </c>
      <c r="L276">
        <f t="shared" si="4"/>
        <v>1</v>
      </c>
    </row>
    <row r="277" spans="1:12" ht="30" x14ac:dyDescent="0.25">
      <c r="A277" s="3">
        <v>276</v>
      </c>
      <c r="B277" s="3" t="s">
        <v>612</v>
      </c>
      <c r="C277" s="3" t="s">
        <v>264</v>
      </c>
      <c r="D277" s="3" t="s">
        <v>264</v>
      </c>
      <c r="E277" s="5" t="s">
        <v>130</v>
      </c>
      <c r="F277" s="3" t="s">
        <v>508</v>
      </c>
      <c r="G277">
        <v>1</v>
      </c>
      <c r="H277">
        <v>0</v>
      </c>
      <c r="I277">
        <v>1</v>
      </c>
      <c r="L277">
        <f t="shared" si="4"/>
        <v>1</v>
      </c>
    </row>
    <row r="278" spans="1:12" ht="45" x14ac:dyDescent="0.25">
      <c r="A278" s="3">
        <v>277</v>
      </c>
      <c r="B278" s="3" t="s">
        <v>613</v>
      </c>
      <c r="C278" s="3" t="s">
        <v>373</v>
      </c>
      <c r="D278" s="3" t="s">
        <v>614</v>
      </c>
      <c r="E278" s="5" t="s">
        <v>130</v>
      </c>
      <c r="F278" s="3" t="s">
        <v>615</v>
      </c>
      <c r="G278">
        <v>1</v>
      </c>
      <c r="H278">
        <v>0</v>
      </c>
      <c r="I278">
        <v>1</v>
      </c>
      <c r="L278">
        <f t="shared" si="4"/>
        <v>1</v>
      </c>
    </row>
    <row r="279" spans="1:12" ht="30" x14ac:dyDescent="0.25">
      <c r="A279" s="1">
        <v>278</v>
      </c>
      <c r="B279" s="1" t="s">
        <v>619</v>
      </c>
      <c r="C279" s="1" t="s">
        <v>620</v>
      </c>
      <c r="D279" s="1"/>
      <c r="E279" s="5" t="s">
        <v>130</v>
      </c>
      <c r="F279" s="3" t="s">
        <v>621</v>
      </c>
      <c r="G279">
        <v>0</v>
      </c>
      <c r="H279">
        <v>0</v>
      </c>
      <c r="I279">
        <v>1</v>
      </c>
      <c r="L279">
        <f t="shared" si="4"/>
        <v>0</v>
      </c>
    </row>
    <row r="280" spans="1:12" x14ac:dyDescent="0.25">
      <c r="A280" s="1"/>
      <c r="B280" s="1"/>
      <c r="C280" s="1"/>
      <c r="D280" s="1"/>
      <c r="L280">
        <f>SUM(L2:L279)</f>
        <v>182</v>
      </c>
    </row>
    <row r="281" spans="1:12" x14ac:dyDescent="0.25">
      <c r="A281" s="1"/>
      <c r="B281" s="1"/>
      <c r="C281" s="1"/>
      <c r="D281" s="1"/>
    </row>
    <row r="282" spans="1:12" x14ac:dyDescent="0.25">
      <c r="A282" s="1"/>
      <c r="B282" s="1"/>
      <c r="C282" s="1"/>
      <c r="D282" s="1"/>
    </row>
    <row r="283" spans="1:12" x14ac:dyDescent="0.25">
      <c r="A283" s="1"/>
      <c r="B283" s="1"/>
      <c r="C283" s="1"/>
      <c r="D283" s="1"/>
    </row>
  </sheetData>
  <pageMargins left="0.7" right="0.7" top="0.75" bottom="0.75" header="0.3" footer="0.3"/>
  <pageSetup paperSize="9" orientation="portrait" r:id="rId1"/>
  <ignoredErrors>
    <ignoredError sqref="E239:E279 E2:E236 E237:E23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Kjetil Vasstein</dc:creator>
  <cp:lastModifiedBy>Kjetil Vasstein</cp:lastModifiedBy>
  <dcterms:created xsi:type="dcterms:W3CDTF">2015-06-05T18:19:34Z</dcterms:created>
  <dcterms:modified xsi:type="dcterms:W3CDTF">2022-10-11T08:50:03Z</dcterms:modified>
</cp:coreProperties>
</file>